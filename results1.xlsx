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\Documents\KPU\Spring 2026\INFO 4290\CNN\"/>
    </mc:Choice>
  </mc:AlternateContent>
  <xr:revisionPtr revIDLastSave="0" documentId="13_ncr:9_{6B848BEF-FE4C-48AA-9BB0-0AD97A822873}" xr6:coauthVersionLast="47" xr6:coauthVersionMax="47" xr10:uidLastSave="{00000000-0000-0000-0000-000000000000}"/>
  <bookViews>
    <workbookView xWindow="-120" yWindow="-120" windowWidth="29040" windowHeight="15720" xr2:uid="{5106D923-51DA-4E7D-A408-A6EEE107F153}"/>
  </bookViews>
  <sheets>
    <sheet name="results" sheetId="1" r:id="rId1"/>
  </sheets>
  <definedNames>
    <definedName name="_xlnm._FilterDatabase" localSheetId="0" hidden="1">results!$B$1:$I$355</definedName>
  </definedNames>
  <calcPr calcId="0"/>
</workbook>
</file>

<file path=xl/calcChain.xml><?xml version="1.0" encoding="utf-8"?>
<calcChain xmlns="http://schemas.openxmlformats.org/spreadsheetml/2006/main">
  <c r="P9" i="1" l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8" i="1"/>
  <c r="N3" i="1"/>
  <c r="N2" i="1"/>
  <c r="O25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8" i="1"/>
  <c r="M3" i="1"/>
  <c r="M2" i="1"/>
  <c r="L3" i="1"/>
  <c r="L2" i="1"/>
</calcChain>
</file>

<file path=xl/sharedStrings.xml><?xml version="1.0" encoding="utf-8"?>
<sst xmlns="http://schemas.openxmlformats.org/spreadsheetml/2006/main" count="1812" uniqueCount="205">
  <si>
    <t>image</t>
  </si>
  <si>
    <t>01318399.jpg</t>
  </si>
  <si>
    <t>blue-mussel</t>
  </si>
  <si>
    <t>MobileNetV3-Large</t>
  </si>
  <si>
    <t>california-mussel</t>
  </si>
  <si>
    <t>MobileNetV3-Small</t>
  </si>
  <si>
    <t>900x600-blue-mussel-noaa-shutterstock.jpg</t>
  </si>
  <si>
    <t>butter-clam</t>
  </si>
  <si>
    <t>varnish-clam</t>
  </si>
  <si>
    <t>Blue-Mussels-min.jpeg</t>
  </si>
  <si>
    <t>bluemusselsh.jpg</t>
  </si>
  <si>
    <t>Broadstairs_-_Mytilus_edulis_2.jpg</t>
  </si>
  <si>
    <t>softshell-clam</t>
  </si>
  <si>
    <t>manila-clam</t>
  </si>
  <si>
    <t>images.jpg</t>
  </si>
  <si>
    <t>M010195.jpg</t>
  </si>
  <si>
    <t>northern-abalone</t>
  </si>
  <si>
    <t>mytilus-edulis_1662.jpg</t>
  </si>
  <si>
    <t>pacific-gaper</t>
  </si>
  <si>
    <t>mytilusedulis_9441239321572137.jpg</t>
  </si>
  <si>
    <t>a-pair-of-butter-clams-saxidomus-gigantea-at-low-tide-on-a-beach-in-the-great-bear-rain-forest-of-british-columbia-canada-2S267J5.jpg</t>
  </si>
  <si>
    <t>littleneck-clam</t>
  </si>
  <si>
    <t>AT541084-4927+1511370870.jpg</t>
  </si>
  <si>
    <t>butter_1cropped.jpg</t>
  </si>
  <si>
    <t>Butter_Clam_Real_Life.jpg</t>
  </si>
  <si>
    <t>original.jpg</t>
  </si>
  <si>
    <t>geoduck</t>
  </si>
  <si>
    <t>original1.jpg</t>
  </si>
  <si>
    <t>original2.jpg</t>
  </si>
  <si>
    <t>saxidomus-cc5b21aa-90fd-4f39-a562-0b674183053-resize-750.jpeg</t>
  </si>
  <si>
    <t>Saxidomus_giganteaSiphonsDLC2007-02s.jpg</t>
  </si>
  <si>
    <t>tumblr_nso9uxvjIJ1urq0gno1_1280.jpg</t>
  </si>
  <si>
    <t>California_Mussels_002.jpg</t>
  </si>
  <si>
    <t>images-report_card-California_Mussel_1270_600_q85.jpg</t>
  </si>
  <si>
    <t>mussels-tr16-1498.jpg</t>
  </si>
  <si>
    <t>olympia-oyster</t>
  </si>
  <si>
    <t>musshand.jpg</t>
  </si>
  <si>
    <t>Mytilus+californianus+(California+mussel)_.jpg</t>
  </si>
  <si>
    <t>Mytilus.jpg</t>
  </si>
  <si>
    <t>pacific-oyster</t>
  </si>
  <si>
    <t>Mytilus_californianusBig1DLC.jpg</t>
  </si>
  <si>
    <t>Redwood National Park 132-XL.jpg</t>
  </si>
  <si>
    <t>target_mytilus01.jpg</t>
  </si>
  <si>
    <t>3115-desiree-lawson-and-geoduck---mai.jpg</t>
  </si>
  <si>
    <t>3591lpr-cropped.jpg</t>
  </si>
  <si>
    <t>razor-clam</t>
  </si>
  <si>
    <t>Adult-geoduck_0.jpg</t>
  </si>
  <si>
    <t>DSC05053.jpg</t>
  </si>
  <si>
    <t>geoduck.jpg</t>
  </si>
  <si>
    <t>geoduck1.jpg</t>
  </si>
  <si>
    <t>geoduck12.jpg</t>
  </si>
  <si>
    <t>intro1.jpg</t>
  </si>
  <si>
    <t>moby1.jpg</t>
  </si>
  <si>
    <t>__opt__aboutcom__coeus__resources__content_migration__serious_eats__seriouseats.com__images__2015__05__05062105-tomky-geoduck-adult-8c06875991884bed8a8763c6d36f3458.jpg</t>
  </si>
  <si>
    <t>DSCF0152b.jpg</t>
  </si>
  <si>
    <t>spiny-scallop</t>
  </si>
  <si>
    <t>nuttalls-cockle</t>
  </si>
  <si>
    <t>littleneck2_small.jpg</t>
  </si>
  <si>
    <t>littleneck_small.jpg</t>
  </si>
  <si>
    <t>pacificlittleneckclam.jpg</t>
  </si>
  <si>
    <t>pacific_littleneck.jpg</t>
  </si>
  <si>
    <t>Protothaca.jpg</t>
  </si>
  <si>
    <t>Protothaca_stamineaDLC2007-06s.jpg</t>
  </si>
  <si>
    <t>Protothaca_stamineaSiphonsDLC2007-04s.jpg</t>
  </si>
  <si>
    <t>Protothaca_stamineaSiphonsDLC2007-08s.jpg</t>
  </si>
  <si>
    <t>2560px-2163kabya-28cappo29-textures-02.jpg</t>
  </si>
  <si>
    <t>2560px-praires.jpg</t>
  </si>
  <si>
    <t>DSCF0244b.jpg</t>
  </si>
  <si>
    <t>purple-scallop</t>
  </si>
  <si>
    <t>The-Manila-clam-Venerupis-philippinarum-Photo-C-Rick-Harbo.jpg</t>
  </si>
  <si>
    <t>Venerupis philippinarum (Medium).jpg</t>
  </si>
  <si>
    <t>Venerupis_philippinarum2sDLC2007.jpg</t>
  </si>
  <si>
    <t>Venerupis_philippinarumNoPurpleDLC2007-02s.jpg</t>
  </si>
  <si>
    <t>v_philippinarum_lg_a.jpg</t>
  </si>
  <si>
    <t>v_philippinarum_lg_b.jpg</t>
  </si>
  <si>
    <t>v_philippinarum_lg_m.jpg</t>
  </si>
  <si>
    <t>640x427-Pinto_Abalone_NB_W.jpg</t>
  </si>
  <si>
    <t>pink-scallop</t>
  </si>
  <si>
    <t>9082a3_56dd914d7521416a9374926af46b8a7b~mv2.jpg</t>
  </si>
  <si>
    <t>fig2.jpg</t>
  </si>
  <si>
    <t>Haliotis_kamtschatkana_001.jpg</t>
  </si>
  <si>
    <t>northernabalone.jpg</t>
  </si>
  <si>
    <t>NorthernAbalone1.jpg</t>
  </si>
  <si>
    <t>NorthernAbalone2.jpg</t>
  </si>
  <si>
    <t>underwater-abalone-Tammy-Norgard.jpg</t>
  </si>
  <si>
    <t>2020-01-26-46469.jpg</t>
  </si>
  <si>
    <t>Clinocardium_nuttalliiPattern1DLC2005.jpg</t>
  </si>
  <si>
    <t>Clinocardium_nuttalliiVentral2DLC2005.jpg</t>
  </si>
  <si>
    <t>Clinocardium_nuttallii_216838584_2.jpg</t>
  </si>
  <si>
    <t>Clinocardium_nuttallii_Hinge_DLC2020-01s.jpg</t>
  </si>
  <si>
    <t>Clinocardium_nuttalliSiphonsDLC2007-01s.jpg</t>
  </si>
  <si>
    <t>weathervane-scallop</t>
  </si>
  <si>
    <t>cockle_16.jpg</t>
  </si>
  <si>
    <t>images1.jpg</t>
  </si>
  <si>
    <t>images2.jpg</t>
  </si>
  <si>
    <t>26510795893_1232c4e0bc_o.jpg</t>
  </si>
  <si>
    <t>ata010422oyster-img01-1638215872.jpg</t>
  </si>
  <si>
    <t>JKT-olympia-oyster-disco-bay-April-2024IMG_9870-e1720813328103.jpg</t>
  </si>
  <si>
    <t>Olympa_Group2_website_2048x2048.jpg</t>
  </si>
  <si>
    <t>Olympia-oysters-Closeup-British-Columbia.jpg</t>
  </si>
  <si>
    <t>Olympia_Oyster.jpg</t>
  </si>
  <si>
    <t>olympia_oyster_cropped.jpg</t>
  </si>
  <si>
    <t>Ostrea_Lurida.jpg</t>
  </si>
  <si>
    <t>Ostrea_lurida_DLC2016-13s.jpg</t>
  </si>
  <si>
    <t>78621_65034ae5a4824.jpg</t>
  </si>
  <si>
    <t>horse_clam_4.jpg</t>
  </si>
  <si>
    <t>tresus-capax-a06fedfc-c4f9-4d55-9426-66c03abc0b0-resize-750.jpeg</t>
  </si>
  <si>
    <t>tresus-capax-a4821bef-d4dc-444e-a6e4-e8591e9a158-resize-750.jpg</t>
  </si>
  <si>
    <t>tresus_capax.jpg</t>
  </si>
  <si>
    <t>Tresus_capax1sDLC2005.jpg</t>
  </si>
  <si>
    <t>Tresus_capaxDLC2007-01s.jpg</t>
  </si>
  <si>
    <t>Tresus_capaxOpen1sDLC2005.jpg</t>
  </si>
  <si>
    <t>Tresus_capaxUmbo1sDLC2005.jpg</t>
  </si>
  <si>
    <t>139577_crassostrea-gigas.jpg</t>
  </si>
  <si>
    <t>32462.jpg</t>
  </si>
  <si>
    <t>Crassostrea gigas (Medium).JPG</t>
  </si>
  <si>
    <t>crassostrea_gigas3.jpg</t>
  </si>
  <si>
    <t>large.jpg</t>
  </si>
  <si>
    <t>Naturalis_Biodiversity_Center_-_RMNH.MOL.320398_-_Crassostrea_gigas_(Thunberg,_1793)_-_Ostreidae_-_Mollusc_shell.jpeg</t>
  </si>
  <si>
    <t>Pacificoyster_science.jpg</t>
  </si>
  <si>
    <t>The-Pacific-oyster-Crassostrea-gigas-Photo-C-Rick-Harbo.jpg</t>
  </si>
  <si>
    <t>WILLER-oyster1_1500.jpg</t>
  </si>
  <si>
    <t>2018-08-10c-a13188.jpg</t>
  </si>
  <si>
    <t>chlamys-rubida-4.jpg</t>
  </si>
  <si>
    <t>Chlamys_rubida1sDLC2005.jpg</t>
  </si>
  <si>
    <t>Chlamys_rubidaEyesDLC2007-01s.jpg</t>
  </si>
  <si>
    <t>Chlamys_rubidaLValveDLC2007-03s.jpg</t>
  </si>
  <si>
    <t>Chlamys_rubidaRValveDLC2007-02s.jpg</t>
  </si>
  <si>
    <t>img_9022.jpg</t>
  </si>
  <si>
    <t>rubida2groot.JPG</t>
  </si>
  <si>
    <t>Scallop2.jpg</t>
  </si>
  <si>
    <t>139576_crassadoma-gigantea.jpg</t>
  </si>
  <si>
    <t>2023-11-29b-b10807.jpg</t>
  </si>
  <si>
    <t>250px-Crassedoma_giganteum.jpg</t>
  </si>
  <si>
    <t>9473360_orig.jpg</t>
  </si>
  <si>
    <t>Crassodoma_gigantea_DLC2017-13s.jpg</t>
  </si>
  <si>
    <t>inat_253127275-63cdbc1f0a2f73.10306964.jpeg</t>
  </si>
  <si>
    <t>Pecten10.jpg</t>
  </si>
  <si>
    <t>RockScallop.jpg</t>
  </si>
  <si>
    <t>species_e8_64f686296ae79.w1000.h666.jpg</t>
  </si>
  <si>
    <t>24301073383_3640703cff_h.jpg</t>
  </si>
  <si>
    <t>360_F_201947288_xZtRB85OAOWIRVrqAnfgBMqtlqAXJM27.jpg</t>
  </si>
  <si>
    <t>mck82beg9l131.jpg</t>
  </si>
  <si>
    <t>Razorclm.jpg</t>
  </si>
  <si>
    <t>Siliqua patula.jpg</t>
  </si>
  <si>
    <t>Siliqua_patula3sDLC2005.jpg</t>
  </si>
  <si>
    <t>Siliqua_patulaDigDLC2005.jpg</t>
  </si>
  <si>
    <t>Siliqua_patula_DLC2010-02s.jpg</t>
  </si>
  <si>
    <t>Siliqua_patula_DLC2010-09s.jpg</t>
  </si>
  <si>
    <t>52049_58ddf591ae3e0.jpg</t>
  </si>
  <si>
    <t>Adult-Mya-arenaria.jpg</t>
  </si>
  <si>
    <t>Ecomare_-_strandgaper_(4792-mya-strandgaper-mok-ogb).jpg</t>
  </si>
  <si>
    <t>M010652.jpg</t>
  </si>
  <si>
    <t>Mya arenaria (Medium).jpg</t>
  </si>
  <si>
    <t>Mya_arenaria.jpg</t>
  </si>
  <si>
    <t>mya_arenaria8_imulero.jpg</t>
  </si>
  <si>
    <t>Mya_arenariaDLC2007-02s.jpg</t>
  </si>
  <si>
    <t>Mya_arenariaSiphonsDLC2007-06s.jpg</t>
  </si>
  <si>
    <t>m_arenaria_lg_a.jpg</t>
  </si>
  <si>
    <t>718as.jpg</t>
  </si>
  <si>
    <t>ah052010scallop.jpg</t>
  </si>
  <si>
    <t>Chlamys_hastata.jpg</t>
  </si>
  <si>
    <t>Chlamys_hastata2DLC2005.jpg</t>
  </si>
  <si>
    <t>Chlamys_hastataSponge1DLC2005.jpg</t>
  </si>
  <si>
    <t>Chlamys_hastataTentacles1DLC2005.jpg</t>
  </si>
  <si>
    <t>scallopmouth.jpg</t>
  </si>
  <si>
    <t>species_d2_59db351a16f61.w1000.h666.jpg</t>
  </si>
  <si>
    <t>swim-1.jpg</t>
  </si>
  <si>
    <t>dscf6860.jpg</t>
  </si>
  <si>
    <t>Nuttalia_obscurata_DLC2020-03s.jpg</t>
  </si>
  <si>
    <t>Nuttallia_obscurata_(exterior).jpg</t>
  </si>
  <si>
    <t>Nuttallia_obscurata_(interior).jpg</t>
  </si>
  <si>
    <t>PurpleVarnishClams3_iamaportlander.jpg</t>
  </si>
  <si>
    <t>sf_bvpvarn03g.jpg</t>
  </si>
  <si>
    <t>varnish-shell-exterior.jpg</t>
  </si>
  <si>
    <t>Varnish1.jpg</t>
  </si>
  <si>
    <t>varnish1_small.jpg</t>
  </si>
  <si>
    <t>varnish_clam2.jpg</t>
  </si>
  <si>
    <t>2019-08-18b-a25435.jpg</t>
  </si>
  <si>
    <t>2019-08-18b-a25437.jpg</t>
  </si>
  <si>
    <t>2021-02-05a-a43113.jpg</t>
  </si>
  <si>
    <t>2022-07-23-a57781.jpg</t>
  </si>
  <si>
    <t>2024-02-22b-b11716.jpg</t>
  </si>
  <si>
    <t>24927691075_1f267e525f_b.jpg</t>
  </si>
  <si>
    <t>Naturalis_Biodiversity_Center_-_ZMA.MOLL.416749_-_Patinopecten_caurinus_(Gould,_1850)_-_Pectinidae_-_Mollusc_shell.jpeg</t>
  </si>
  <si>
    <t>Naturalis_Biodiversity_Center_-_ZMA.MOLL.416750_-_Patinopecten_caurinus_(Gould,_1850)_-_Pectinidae_-_Mollusc_shell.jpeg</t>
  </si>
  <si>
    <t>Patinopecten caurinus.jpg</t>
  </si>
  <si>
    <t>Scallop_weathervane.jpg</t>
  </si>
  <si>
    <t>Species</t>
  </si>
  <si>
    <t>Model</t>
  </si>
  <si>
    <t>Top Prediction</t>
  </si>
  <si>
    <t>Confidence</t>
  </si>
  <si>
    <t>2nd Prediction</t>
  </si>
  <si>
    <t>Inference Time</t>
  </si>
  <si>
    <t>Correct</t>
  </si>
  <si>
    <t>Large Model</t>
  </si>
  <si>
    <t>Avg. Inference Time</t>
  </si>
  <si>
    <t>Accuracy Score</t>
  </si>
  <si>
    <t>Small Model</t>
  </si>
  <si>
    <t>Accuracy Score with Confidence Cutoff</t>
  </si>
  <si>
    <t># Training Images</t>
  </si>
  <si>
    <t>Without Confidence Cutoff</t>
  </si>
  <si>
    <t>Without Conf. Cutoff</t>
  </si>
  <si>
    <t>With Conf.Cutoff</t>
  </si>
  <si>
    <t>With Conf. 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</si>
</sst>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FDA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6" fillId="0" borderId="0" xfId="0" applyFont="1"/>
    <xf numFmtId="0" fontId="16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4" fillId="33" borderId="15" xfId="0" applyFont="1" applyFill="1" applyBorder="1" applyAlignment="1">
      <alignment horizontal="center" vertical="center"/>
    </xf>
    <xf numFmtId="0" fontId="14" fillId="33" borderId="0" xfId="0" applyFont="1" applyFill="1" applyBorder="1" applyAlignment="1">
      <alignment horizontal="center" vertical="center"/>
    </xf>
    <xf numFmtId="0" fontId="18" fillId="34" borderId="14" xfId="0" applyFont="1" applyFill="1" applyBorder="1" applyAlignment="1">
      <alignment horizontal="center" vertical="center"/>
    </xf>
    <xf numFmtId="0" fontId="14" fillId="33" borderId="16" xfId="0" applyFont="1" applyFill="1" applyBorder="1" applyAlignment="1">
      <alignment horizontal="center" vertical="center"/>
    </xf>
    <xf numFmtId="0" fontId="14" fillId="33" borderId="14" xfId="0" applyFont="1" applyFill="1" applyBorder="1" applyAlignment="1">
      <alignment horizontal="center" vertical="center"/>
    </xf>
    <xf numFmtId="0" fontId="19" fillId="35" borderId="14" xfId="0" applyFont="1" applyFill="1" applyBorder="1" applyAlignment="1">
      <alignment horizontal="center" vertical="center"/>
    </xf>
    <xf numFmtId="0" fontId="19" fillId="35" borderId="17" xfId="0" applyFont="1" applyFill="1" applyBorder="1" applyAlignment="1">
      <alignment horizontal="center" vertical="center"/>
    </xf>
    <xf numFmtId="0" fontId="14" fillId="33" borderId="18" xfId="0" applyFont="1" applyFill="1" applyBorder="1" applyAlignment="1">
      <alignment horizontal="center" vertical="center"/>
    </xf>
    <xf numFmtId="0" fontId="19" fillId="35" borderId="18" xfId="0" applyFont="1" applyFill="1" applyBorder="1" applyAlignment="1">
      <alignment horizontal="center" vertical="center"/>
    </xf>
    <xf numFmtId="0" fontId="18" fillId="34" borderId="18" xfId="0" applyFont="1" applyFill="1" applyBorder="1" applyAlignment="1">
      <alignment horizontal="center" vertical="center"/>
    </xf>
    <xf numFmtId="0" fontId="14" fillId="33" borderId="19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14" fillId="0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DFD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F3A5-FE71-4562-8CFF-30A75241BA52}">
  <dimension ref="A1:P355"/>
  <sheetViews>
    <sheetView tabSelected="1" topLeftCell="B1" workbookViewId="0">
      <selection activeCell="M28" sqref="M28:N28"/>
    </sheetView>
  </sheetViews>
  <sheetFormatPr defaultRowHeight="15" x14ac:dyDescent="0.25"/>
  <cols>
    <col min="1" max="1" width="169" hidden="1" customWidth="1"/>
    <col min="2" max="2" width="19.7109375" bestFit="1" customWidth="1"/>
    <col min="3" max="3" width="18.140625" bestFit="1" customWidth="1"/>
    <col min="4" max="4" width="19.7109375" bestFit="1" customWidth="1"/>
    <col min="5" max="5" width="10.85546875" bestFit="1" customWidth="1"/>
    <col min="6" max="6" width="19.7109375" hidden="1" customWidth="1"/>
    <col min="7" max="7" width="10.85546875" hidden="1" customWidth="1"/>
    <col min="8" max="8" width="14" bestFit="1" customWidth="1"/>
    <col min="9" max="9" width="7.28515625" bestFit="1" customWidth="1"/>
    <col min="11" max="11" width="20.140625" customWidth="1"/>
    <col min="12" max="12" width="19.7109375" customWidth="1"/>
    <col min="13" max="13" width="20.42578125" customWidth="1"/>
    <col min="14" max="14" width="18.28515625" customWidth="1"/>
    <col min="15" max="15" width="20.5703125" customWidth="1"/>
    <col min="16" max="16" width="17.5703125" customWidth="1"/>
  </cols>
  <sheetData>
    <row r="1" spans="1:16" x14ac:dyDescent="0.25">
      <c r="A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191</v>
      </c>
      <c r="H1" s="1" t="s">
        <v>193</v>
      </c>
      <c r="I1" s="1" t="s">
        <v>194</v>
      </c>
      <c r="K1" s="1" t="s">
        <v>189</v>
      </c>
      <c r="L1" s="1" t="s">
        <v>196</v>
      </c>
      <c r="M1" s="1" t="s">
        <v>197</v>
      </c>
      <c r="N1" s="1" t="s">
        <v>199</v>
      </c>
      <c r="O1" s="1"/>
    </row>
    <row r="2" spans="1:16" x14ac:dyDescent="0.25">
      <c r="A2" t="s">
        <v>1</v>
      </c>
      <c r="B2" t="s">
        <v>13</v>
      </c>
      <c r="C2" t="s">
        <v>5</v>
      </c>
      <c r="D2" t="s">
        <v>7</v>
      </c>
      <c r="E2">
        <v>33.29</v>
      </c>
      <c r="F2" t="s">
        <v>56</v>
      </c>
      <c r="G2">
        <v>30.96</v>
      </c>
      <c r="H2">
        <v>15.97</v>
      </c>
      <c r="I2" t="b">
        <v>0</v>
      </c>
      <c r="K2" t="s">
        <v>195</v>
      </c>
      <c r="L2">
        <f>AVERAGEIF(C:C,"MobileNetV3-Large",H:H)</f>
        <v>29.976440677966117</v>
      </c>
      <c r="M2">
        <f>COUNTIFS(C:C,"MobileNetV3-Large",I:I,"TRUE")/COUNTIF(C:C,"MobileNetV3-Large")*100</f>
        <v>67.2316384180791</v>
      </c>
      <c r="N2">
        <f>COUNTIFS(C:C,"MobileNetV3-Large",I:I,"TRUE",E:E,"&gt;90")/COUNTIFS(C:C,"MobileNetV3-Large",E:E,"&gt;90")*100</f>
        <v>81.034482758620683</v>
      </c>
    </row>
    <row r="3" spans="1:16" x14ac:dyDescent="0.25">
      <c r="A3" t="s">
        <v>1</v>
      </c>
      <c r="B3" t="s">
        <v>12</v>
      </c>
      <c r="C3" t="s">
        <v>5</v>
      </c>
      <c r="D3" t="s">
        <v>7</v>
      </c>
      <c r="E3">
        <v>34.409999999999997</v>
      </c>
      <c r="F3" t="s">
        <v>12</v>
      </c>
      <c r="G3">
        <v>24.05</v>
      </c>
      <c r="H3">
        <v>15.19</v>
      </c>
      <c r="I3" t="b">
        <v>0</v>
      </c>
      <c r="K3" t="s">
        <v>198</v>
      </c>
      <c r="L3">
        <f>AVERAGEIF(C:C,"MobileNetV3-Small",H:H)</f>
        <v>16.70824858757063</v>
      </c>
      <c r="M3">
        <f>COUNTIFS(C:C,"MobileNetV3-Small",I:I,"TRUE")/COUNTIF(C:C,"MobileNetV3-Small")*100</f>
        <v>59.887005649717516</v>
      </c>
      <c r="N3">
        <f>COUNTIFS(C:C,"MobileNetV3-Small",I:I,"TRUE",E:E,"&gt;90")/COUNTIFS(C:C,"MobileNetV3-Small",E:E,"&gt;90")*100</f>
        <v>76.530612244897952</v>
      </c>
    </row>
    <row r="4" spans="1:16" x14ac:dyDescent="0.25">
      <c r="A4" t="s">
        <v>6</v>
      </c>
      <c r="B4" t="s">
        <v>4</v>
      </c>
      <c r="C4" t="s">
        <v>5</v>
      </c>
      <c r="D4" t="s">
        <v>2</v>
      </c>
      <c r="E4">
        <v>36.36</v>
      </c>
      <c r="F4" t="s">
        <v>4</v>
      </c>
      <c r="G4">
        <v>25.43</v>
      </c>
      <c r="H4">
        <v>15.66</v>
      </c>
      <c r="I4" t="b">
        <v>0</v>
      </c>
    </row>
    <row r="5" spans="1:16" x14ac:dyDescent="0.25">
      <c r="A5" t="s">
        <v>6</v>
      </c>
      <c r="B5" t="s">
        <v>4</v>
      </c>
      <c r="C5" t="s">
        <v>3</v>
      </c>
      <c r="D5" t="s">
        <v>26</v>
      </c>
      <c r="E5">
        <v>36.49</v>
      </c>
      <c r="F5" t="s">
        <v>2</v>
      </c>
      <c r="G5">
        <v>26.96</v>
      </c>
      <c r="H5">
        <v>32.47</v>
      </c>
      <c r="I5" t="b">
        <v>0</v>
      </c>
      <c r="K5" s="1" t="s">
        <v>201</v>
      </c>
    </row>
    <row r="6" spans="1:16" x14ac:dyDescent="0.25">
      <c r="A6" t="s">
        <v>9</v>
      </c>
      <c r="B6" t="s">
        <v>4</v>
      </c>
      <c r="C6" t="s">
        <v>5</v>
      </c>
      <c r="D6" t="s">
        <v>12</v>
      </c>
      <c r="E6">
        <v>36.78</v>
      </c>
      <c r="F6" t="s">
        <v>4</v>
      </c>
      <c r="G6">
        <v>25.27</v>
      </c>
      <c r="H6">
        <v>16.38</v>
      </c>
      <c r="I6" t="b">
        <v>0</v>
      </c>
      <c r="K6" s="5" t="s">
        <v>188</v>
      </c>
      <c r="L6" s="2" t="s">
        <v>200</v>
      </c>
      <c r="M6" s="8" t="s">
        <v>195</v>
      </c>
      <c r="N6" s="4"/>
      <c r="O6" s="3" t="s">
        <v>198</v>
      </c>
      <c r="P6" s="4"/>
    </row>
    <row r="7" spans="1:16" x14ac:dyDescent="0.25">
      <c r="A7" t="s">
        <v>9</v>
      </c>
      <c r="B7" t="s">
        <v>26</v>
      </c>
      <c r="C7" t="s">
        <v>3</v>
      </c>
      <c r="D7" t="s">
        <v>18</v>
      </c>
      <c r="E7">
        <v>37.909999999999997</v>
      </c>
      <c r="F7" t="s">
        <v>12</v>
      </c>
      <c r="G7">
        <v>20.55</v>
      </c>
      <c r="H7">
        <v>30.03</v>
      </c>
      <c r="I7" t="b">
        <v>0</v>
      </c>
      <c r="K7" s="6"/>
      <c r="L7" s="7"/>
      <c r="M7" s="9" t="s">
        <v>202</v>
      </c>
      <c r="N7" s="9" t="s">
        <v>203</v>
      </c>
      <c r="O7" s="9" t="s">
        <v>202</v>
      </c>
      <c r="P7" s="9" t="s">
        <v>204</v>
      </c>
    </row>
    <row r="8" spans="1:16" x14ac:dyDescent="0.25">
      <c r="A8" t="s">
        <v>10</v>
      </c>
      <c r="B8" t="s">
        <v>45</v>
      </c>
      <c r="C8" t="s">
        <v>5</v>
      </c>
      <c r="D8" t="s">
        <v>16</v>
      </c>
      <c r="E8">
        <v>38.630000000000003</v>
      </c>
      <c r="F8" t="s">
        <v>45</v>
      </c>
      <c r="G8">
        <v>37.29</v>
      </c>
      <c r="H8">
        <v>16.54</v>
      </c>
      <c r="I8" t="b">
        <v>0</v>
      </c>
      <c r="K8" s="10" t="s">
        <v>2</v>
      </c>
      <c r="L8" s="11">
        <v>463</v>
      </c>
      <c r="M8" s="19">
        <f>COUNTIFS(B:B,K8,C:C,"MobileNetV3-Large",I:I,"TRUE")/COUNTIFS(B:B,K8,C:C,"MobileNetV3-Large")*100</f>
        <v>88.888888888888886</v>
      </c>
      <c r="N8" s="18">
        <f>COUNTIFS(B:B,K8,C:C,"MobileNetV3-Large",I:I,"TRUE",E:E,"&gt;90")/COUNTIFS(B:B,K8,C:C,"MobileNetV3-Large",E:E,"&gt;90")*100</f>
        <v>85.714285714285708</v>
      </c>
      <c r="O8" s="18">
        <f>COUNTIFS(B:B,K8,C:C,"MobileNetV3-Small",I:I,"TRUE")/COUNTIFS(B:B,K8,C:C,"MobileNetV3-Small")*100</f>
        <v>66.666666666666657</v>
      </c>
      <c r="P8" s="18">
        <f>COUNTIFS(B:B,K8,C:C,"MobileNetV3-Small",I:I,"TRUE",E:E,"&gt;90")/COUNTIFS(B:B,K8,C:C,"MobileNetV3-Small",E:E,"&gt;90")*100</f>
        <v>66.666666666666657</v>
      </c>
    </row>
    <row r="9" spans="1:16" x14ac:dyDescent="0.25">
      <c r="A9" t="s">
        <v>10</v>
      </c>
      <c r="B9" t="s">
        <v>4</v>
      </c>
      <c r="C9" t="s">
        <v>3</v>
      </c>
      <c r="D9" t="s">
        <v>2</v>
      </c>
      <c r="E9">
        <v>40.54</v>
      </c>
      <c r="F9" t="s">
        <v>16</v>
      </c>
      <c r="G9">
        <v>25.31</v>
      </c>
      <c r="H9">
        <v>30.08</v>
      </c>
      <c r="I9" t="b">
        <v>0</v>
      </c>
      <c r="K9" s="10" t="s">
        <v>7</v>
      </c>
      <c r="L9" s="11">
        <v>525</v>
      </c>
      <c r="M9" s="20">
        <f>COUNTIFS(B:B,K9,C:C,"MobileNetV3-Large",I:I,"TRUE")/COUNTIFS(B:B,K9,C:C,"MobileNetV3-Large")*100</f>
        <v>40</v>
      </c>
      <c r="N9" s="17">
        <f t="shared" ref="N9:N25" si="0">COUNTIFS(B:B,K9,C:C,"MobileNetV3-Large",I:I,"TRUE",E:E,"&gt;90")/COUNTIFS(B:B,K9,C:C,"MobileNetV3-Large",E:E,"&gt;90")*100</f>
        <v>50</v>
      </c>
      <c r="O9" s="17">
        <f>COUNTIFS(B:B,K9,C:C,"MobileNetV3-Small",I:I,"TRUE")/COUNTIFS(B:B,K9,C:C,"MobileNetV3-Small")*100</f>
        <v>50</v>
      </c>
      <c r="P9" s="17">
        <f t="shared" ref="P9:P25" si="1">COUNTIFS(B:B,K9,C:C,"MobileNetV3-Small",I:I,"TRUE",E:E,"&gt;90")/COUNTIFS(B:B,K9,C:C,"MobileNetV3-Small",E:E,"&gt;90")*100</f>
        <v>50</v>
      </c>
    </row>
    <row r="10" spans="1:16" x14ac:dyDescent="0.25">
      <c r="A10" t="s">
        <v>11</v>
      </c>
      <c r="B10" t="s">
        <v>45</v>
      </c>
      <c r="C10" t="s">
        <v>3</v>
      </c>
      <c r="D10" t="s">
        <v>26</v>
      </c>
      <c r="E10">
        <v>41.49</v>
      </c>
      <c r="F10" t="s">
        <v>18</v>
      </c>
      <c r="G10">
        <v>29.31</v>
      </c>
      <c r="H10">
        <v>27.64</v>
      </c>
      <c r="I10" t="b">
        <v>0</v>
      </c>
      <c r="K10" s="10" t="s">
        <v>4</v>
      </c>
      <c r="L10" s="11">
        <v>474</v>
      </c>
      <c r="M10" s="20">
        <f>COUNTIFS(B:B,K10,C:C,"MobileNetV3-Large",I:I,"TRUE")/COUNTIFS(B:B,K10,C:C,"MobileNetV3-Large")*100</f>
        <v>60</v>
      </c>
      <c r="N10" s="18">
        <f t="shared" si="0"/>
        <v>80</v>
      </c>
      <c r="O10" s="17">
        <f>COUNTIFS(B:B,K10,C:C,"MobileNetV3-Small",I:I,"TRUE")/COUNTIFS(B:B,K10,C:C,"MobileNetV3-Small")*100</f>
        <v>50</v>
      </c>
      <c r="P10" s="18">
        <f t="shared" si="1"/>
        <v>75</v>
      </c>
    </row>
    <row r="11" spans="1:16" x14ac:dyDescent="0.25">
      <c r="A11" t="s">
        <v>11</v>
      </c>
      <c r="B11" t="s">
        <v>39</v>
      </c>
      <c r="C11" t="s">
        <v>5</v>
      </c>
      <c r="D11" t="s">
        <v>68</v>
      </c>
      <c r="E11">
        <v>41.99</v>
      </c>
      <c r="F11" t="s">
        <v>35</v>
      </c>
      <c r="G11">
        <v>36.19</v>
      </c>
      <c r="H11">
        <v>19.79</v>
      </c>
      <c r="I11" t="b">
        <v>0</v>
      </c>
      <c r="K11" s="10" t="s">
        <v>26</v>
      </c>
      <c r="L11" s="11">
        <v>468</v>
      </c>
      <c r="M11" s="21">
        <f>COUNTIFS(B:B,K11,C:C,"MobileNetV3-Large",I:I,"TRUE")/COUNTIFS(B:B,K11,C:C,"MobileNetV3-Large")*100</f>
        <v>80</v>
      </c>
      <c r="N11" s="15">
        <f t="shared" si="0"/>
        <v>100</v>
      </c>
      <c r="O11" s="17">
        <f>COUNTIFS(B:B,K11,C:C,"MobileNetV3-Small",I:I,"TRUE")/COUNTIFS(B:B,K11,C:C,"MobileNetV3-Small")*100</f>
        <v>60</v>
      </c>
      <c r="P11" s="18">
        <f t="shared" si="1"/>
        <v>75</v>
      </c>
    </row>
    <row r="12" spans="1:16" x14ac:dyDescent="0.25">
      <c r="A12" t="s">
        <v>14</v>
      </c>
      <c r="B12" t="s">
        <v>26</v>
      </c>
      <c r="C12" t="s">
        <v>5</v>
      </c>
      <c r="D12" t="s">
        <v>13</v>
      </c>
      <c r="E12">
        <v>42.93</v>
      </c>
      <c r="F12" t="s">
        <v>21</v>
      </c>
      <c r="G12">
        <v>17.96</v>
      </c>
      <c r="H12">
        <v>21.56</v>
      </c>
      <c r="I12" t="b">
        <v>0</v>
      </c>
      <c r="K12" s="10" t="s">
        <v>21</v>
      </c>
      <c r="L12" s="11">
        <v>461</v>
      </c>
      <c r="M12" s="21">
        <f>COUNTIFS(B:B,K12,C:C,"MobileNetV3-Large",I:I,"TRUE")/COUNTIFS(B:B,K12,C:C,"MobileNetV3-Large")*100</f>
        <v>80</v>
      </c>
      <c r="N12" s="18">
        <f t="shared" si="0"/>
        <v>88.888888888888886</v>
      </c>
      <c r="O12" s="18">
        <f>COUNTIFS(B:B,K12,C:C,"MobileNetV3-Small",I:I,"TRUE")/COUNTIFS(B:B,K12,C:C,"MobileNetV3-Small")*100</f>
        <v>90</v>
      </c>
      <c r="P12" s="15">
        <f t="shared" si="1"/>
        <v>100</v>
      </c>
    </row>
    <row r="13" spans="1:16" x14ac:dyDescent="0.25">
      <c r="A13" t="s">
        <v>14</v>
      </c>
      <c r="B13" t="s">
        <v>91</v>
      </c>
      <c r="C13" t="s">
        <v>3</v>
      </c>
      <c r="D13" t="s">
        <v>55</v>
      </c>
      <c r="E13">
        <v>43.09</v>
      </c>
      <c r="F13" t="s">
        <v>16</v>
      </c>
      <c r="G13">
        <v>36.39</v>
      </c>
      <c r="H13">
        <v>29.92</v>
      </c>
      <c r="I13" t="b">
        <v>0</v>
      </c>
      <c r="K13" s="10" t="s">
        <v>13</v>
      </c>
      <c r="L13" s="11">
        <v>395</v>
      </c>
      <c r="M13" s="21">
        <f>COUNTIFS(B:B,K13,C:C,"MobileNetV3-Large",I:I,"TRUE")/COUNTIFS(B:B,K13,C:C,"MobileNetV3-Large")*100</f>
        <v>70</v>
      </c>
      <c r="N13" s="18">
        <f t="shared" si="0"/>
        <v>66.666666666666657</v>
      </c>
      <c r="O13" s="17">
        <f>COUNTIFS(B:B,K13,C:C,"MobileNetV3-Small",I:I,"TRUE")/COUNTIFS(B:B,K13,C:C,"MobileNetV3-Small")*100</f>
        <v>50</v>
      </c>
      <c r="P13" s="18">
        <f t="shared" si="1"/>
        <v>66.666666666666657</v>
      </c>
    </row>
    <row r="14" spans="1:16" x14ac:dyDescent="0.25">
      <c r="A14" t="s">
        <v>15</v>
      </c>
      <c r="B14" t="s">
        <v>7</v>
      </c>
      <c r="C14" t="s">
        <v>5</v>
      </c>
      <c r="D14" t="s">
        <v>7</v>
      </c>
      <c r="E14">
        <v>43.73</v>
      </c>
      <c r="F14" t="s">
        <v>13</v>
      </c>
      <c r="G14">
        <v>22.75</v>
      </c>
      <c r="H14">
        <v>15.83</v>
      </c>
      <c r="I14" t="b">
        <v>1</v>
      </c>
      <c r="K14" s="10" t="s">
        <v>16</v>
      </c>
      <c r="L14" s="11">
        <v>473</v>
      </c>
      <c r="M14" s="22">
        <f>COUNTIFS(B:B,K14,C:C,"MobileNetV3-Large",I:I,"TRUE")/COUNTIFS(B:B,K14,C:C,"MobileNetV3-Large")*100</f>
        <v>100</v>
      </c>
      <c r="N14" s="15">
        <f t="shared" si="0"/>
        <v>100</v>
      </c>
      <c r="O14" s="18">
        <f>COUNTIFS(B:B,K14,C:C,"MobileNetV3-Small",I:I,"TRUE")/COUNTIFS(B:B,K14,C:C,"MobileNetV3-Small")*100</f>
        <v>88.888888888888886</v>
      </c>
      <c r="P14" s="15">
        <f t="shared" si="1"/>
        <v>100</v>
      </c>
    </row>
    <row r="15" spans="1:16" x14ac:dyDescent="0.25">
      <c r="A15" t="s">
        <v>15</v>
      </c>
      <c r="B15" t="s">
        <v>26</v>
      </c>
      <c r="C15" t="s">
        <v>5</v>
      </c>
      <c r="D15" t="s">
        <v>26</v>
      </c>
      <c r="E15">
        <v>45.11</v>
      </c>
      <c r="F15" t="s">
        <v>18</v>
      </c>
      <c r="G15">
        <v>34.450000000000003</v>
      </c>
      <c r="H15">
        <v>17.329999999999998</v>
      </c>
      <c r="I15" t="b">
        <v>1</v>
      </c>
      <c r="K15" s="10" t="s">
        <v>56</v>
      </c>
      <c r="L15" s="11">
        <v>441</v>
      </c>
      <c r="M15" s="21">
        <f>COUNTIFS(B:B,K15,C:C,"MobileNetV3-Large",I:I,"TRUE")/COUNTIFS(B:B,K15,C:C,"MobileNetV3-Large")*100</f>
        <v>90</v>
      </c>
      <c r="N15" s="15">
        <f t="shared" si="0"/>
        <v>100</v>
      </c>
      <c r="O15" s="18">
        <f>COUNTIFS(B:B,K15,C:C,"MobileNetV3-Small",I:I,"TRUE")/COUNTIFS(B:B,K15,C:C,"MobileNetV3-Small")*100</f>
        <v>90</v>
      </c>
      <c r="P15" s="15">
        <f t="shared" si="1"/>
        <v>100</v>
      </c>
    </row>
    <row r="16" spans="1:16" x14ac:dyDescent="0.25">
      <c r="A16" t="s">
        <v>17</v>
      </c>
      <c r="B16" t="s">
        <v>68</v>
      </c>
      <c r="C16" t="s">
        <v>5</v>
      </c>
      <c r="D16" t="s">
        <v>68</v>
      </c>
      <c r="E16">
        <v>45.31</v>
      </c>
      <c r="F16" t="s">
        <v>2</v>
      </c>
      <c r="G16">
        <v>24.5</v>
      </c>
      <c r="H16">
        <v>15.6</v>
      </c>
      <c r="I16" t="b">
        <v>1</v>
      </c>
      <c r="K16" s="10" t="s">
        <v>35</v>
      </c>
      <c r="L16" s="11">
        <v>537</v>
      </c>
      <c r="M16" s="20">
        <f>COUNTIFS(B:B,K16,C:C,"MobileNetV3-Large",I:I,"TRUE")/COUNTIFS(B:B,K16,C:C,"MobileNetV3-Large")*100</f>
        <v>40</v>
      </c>
      <c r="N16" s="17">
        <f t="shared" si="0"/>
        <v>25</v>
      </c>
      <c r="O16" s="17">
        <f>COUNTIFS(B:B,K16,C:C,"MobileNetV3-Small",I:I,"TRUE")/COUNTIFS(B:B,K16,C:C,"MobileNetV3-Small")*100</f>
        <v>60</v>
      </c>
      <c r="P16" s="17">
        <f t="shared" si="1"/>
        <v>50</v>
      </c>
    </row>
    <row r="17" spans="1:16" x14ac:dyDescent="0.25">
      <c r="A17" t="s">
        <v>17</v>
      </c>
      <c r="B17" t="s">
        <v>2</v>
      </c>
      <c r="C17" t="s">
        <v>3</v>
      </c>
      <c r="D17" t="s">
        <v>2</v>
      </c>
      <c r="E17">
        <v>45.7</v>
      </c>
      <c r="F17" t="s">
        <v>7</v>
      </c>
      <c r="G17">
        <v>26.43</v>
      </c>
      <c r="H17">
        <v>32.97</v>
      </c>
      <c r="I17" t="b">
        <v>1</v>
      </c>
      <c r="K17" s="10" t="s">
        <v>18</v>
      </c>
      <c r="L17" s="11">
        <v>532</v>
      </c>
      <c r="M17" s="21">
        <f>COUNTIFS(B:B,K17,C:C,"MobileNetV3-Large",I:I,"TRUE")/COUNTIFS(B:B,K17,C:C,"MobileNetV3-Large")*100</f>
        <v>80</v>
      </c>
      <c r="N17" s="15">
        <f t="shared" si="0"/>
        <v>100</v>
      </c>
      <c r="O17" s="17">
        <f>COUNTIFS(B:B,K17,C:C,"MobileNetV3-Small",I:I,"TRUE")/COUNTIFS(B:B,K17,C:C,"MobileNetV3-Small")*100</f>
        <v>50</v>
      </c>
      <c r="P17" s="17">
        <f t="shared" si="1"/>
        <v>50</v>
      </c>
    </row>
    <row r="18" spans="1:16" x14ac:dyDescent="0.25">
      <c r="A18" t="s">
        <v>19</v>
      </c>
      <c r="B18" t="s">
        <v>77</v>
      </c>
      <c r="C18" t="s">
        <v>3</v>
      </c>
      <c r="D18" t="s">
        <v>55</v>
      </c>
      <c r="E18">
        <v>46.48</v>
      </c>
      <c r="F18" t="s">
        <v>68</v>
      </c>
      <c r="G18">
        <v>34.909999999999997</v>
      </c>
      <c r="H18">
        <v>30.64</v>
      </c>
      <c r="I18" t="b">
        <v>0</v>
      </c>
      <c r="K18" s="10" t="s">
        <v>39</v>
      </c>
      <c r="L18" s="11">
        <v>475</v>
      </c>
      <c r="M18" s="21">
        <f>COUNTIFS(B:B,K18,C:C,"MobileNetV3-Large",I:I,"TRUE")/COUNTIFS(B:B,K18,C:C,"MobileNetV3-Large")*100</f>
        <v>80</v>
      </c>
      <c r="N18" s="18">
        <f t="shared" si="0"/>
        <v>88.888888888888886</v>
      </c>
      <c r="O18" s="18">
        <f>COUNTIFS(B:B,K18,C:C,"MobileNetV3-Small",I:I,"TRUE")/COUNTIFS(B:B,K18,C:C,"MobileNetV3-Small")*100</f>
        <v>70</v>
      </c>
      <c r="P18" s="18">
        <f t="shared" si="1"/>
        <v>66.666666666666657</v>
      </c>
    </row>
    <row r="19" spans="1:16" x14ac:dyDescent="0.25">
      <c r="A19" t="s">
        <v>19</v>
      </c>
      <c r="B19" t="s">
        <v>45</v>
      </c>
      <c r="C19" t="s">
        <v>3</v>
      </c>
      <c r="D19" t="s">
        <v>12</v>
      </c>
      <c r="E19">
        <v>46.77</v>
      </c>
      <c r="F19" t="s">
        <v>21</v>
      </c>
      <c r="G19">
        <v>21.32</v>
      </c>
      <c r="H19">
        <v>31.32</v>
      </c>
      <c r="I19" t="b">
        <v>0</v>
      </c>
      <c r="K19" s="10" t="s">
        <v>77</v>
      </c>
      <c r="L19" s="14">
        <v>98</v>
      </c>
      <c r="M19" s="20">
        <f>COUNTIFS(B:B,K19,C:C,"MobileNetV3-Large",I:I,"TRUE")/COUNTIFS(B:B,K19,C:C,"MobileNetV3-Large")*100</f>
        <v>40</v>
      </c>
      <c r="N19" s="17">
        <f t="shared" si="0"/>
        <v>33.333333333333329</v>
      </c>
      <c r="O19" s="17">
        <f>COUNTIFS(B:B,K19,C:C,"MobileNetV3-Small",I:I,"TRUE")/COUNTIFS(B:B,K19,C:C,"MobileNetV3-Small")*100</f>
        <v>40</v>
      </c>
      <c r="P19" s="17">
        <f t="shared" si="1"/>
        <v>57.142857142857139</v>
      </c>
    </row>
    <row r="20" spans="1:16" x14ac:dyDescent="0.25">
      <c r="A20" t="s">
        <v>20</v>
      </c>
      <c r="B20" t="s">
        <v>56</v>
      </c>
      <c r="C20" t="s">
        <v>5</v>
      </c>
      <c r="D20" t="s">
        <v>56</v>
      </c>
      <c r="E20">
        <v>48.51</v>
      </c>
      <c r="F20" t="s">
        <v>21</v>
      </c>
      <c r="G20">
        <v>40.909999999999997</v>
      </c>
      <c r="H20">
        <v>15.09</v>
      </c>
      <c r="I20" t="b">
        <v>1</v>
      </c>
      <c r="K20" s="10" t="s">
        <v>68</v>
      </c>
      <c r="L20" s="11">
        <v>522</v>
      </c>
      <c r="M20" s="20">
        <f>COUNTIFS(B:B,K20,C:C,"MobileNetV3-Large",I:I,"TRUE")/COUNTIFS(B:B,K20,C:C,"MobileNetV3-Large")*100</f>
        <v>44.444444444444443</v>
      </c>
      <c r="N20" s="18">
        <f t="shared" si="0"/>
        <v>75</v>
      </c>
      <c r="O20" s="17">
        <f>COUNTIFS(B:B,K20,C:C,"MobileNetV3-Small",I:I,"TRUE")/COUNTIFS(B:B,K20,C:C,"MobileNetV3-Small")*100</f>
        <v>44.444444444444443</v>
      </c>
      <c r="P20" s="15">
        <f t="shared" si="1"/>
        <v>100</v>
      </c>
    </row>
    <row r="21" spans="1:16" x14ac:dyDescent="0.25">
      <c r="A21" t="s">
        <v>20</v>
      </c>
      <c r="B21" t="s">
        <v>4</v>
      </c>
      <c r="C21" t="s">
        <v>3</v>
      </c>
      <c r="D21" t="s">
        <v>35</v>
      </c>
      <c r="E21">
        <v>48.67</v>
      </c>
      <c r="F21" t="s">
        <v>4</v>
      </c>
      <c r="G21">
        <v>33.78</v>
      </c>
      <c r="H21">
        <v>29.11</v>
      </c>
      <c r="I21" t="b">
        <v>0</v>
      </c>
      <c r="K21" s="10" t="s">
        <v>45</v>
      </c>
      <c r="L21" s="11">
        <v>501</v>
      </c>
      <c r="M21" s="20">
        <f>COUNTIFS(B:B,K21,C:C,"MobileNetV3-Large",I:I,"TRUE")/COUNTIFS(B:B,K21,C:C,"MobileNetV3-Large")*100</f>
        <v>60</v>
      </c>
      <c r="N21" s="18">
        <f t="shared" si="0"/>
        <v>80</v>
      </c>
      <c r="O21" s="17">
        <f>COUNTIFS(B:B,K21,C:C,"MobileNetV3-Small",I:I,"TRUE")/COUNTIFS(B:B,K21,C:C,"MobileNetV3-Small")*100</f>
        <v>50</v>
      </c>
      <c r="P21" s="15">
        <f t="shared" si="1"/>
        <v>100</v>
      </c>
    </row>
    <row r="22" spans="1:16" x14ac:dyDescent="0.25">
      <c r="A22" t="s">
        <v>22</v>
      </c>
      <c r="B22" t="s">
        <v>12</v>
      </c>
      <c r="C22" t="s">
        <v>3</v>
      </c>
      <c r="D22" t="s">
        <v>18</v>
      </c>
      <c r="E22">
        <v>49.23</v>
      </c>
      <c r="F22" t="s">
        <v>12</v>
      </c>
      <c r="G22">
        <v>44.73</v>
      </c>
      <c r="H22">
        <v>32.630000000000003</v>
      </c>
      <c r="I22" t="b">
        <v>0</v>
      </c>
      <c r="K22" s="10" t="s">
        <v>12</v>
      </c>
      <c r="L22" s="11">
        <v>494</v>
      </c>
      <c r="M22" s="20">
        <f>COUNTIFS(B:B,K22,C:C,"MobileNetV3-Large",I:I,"TRUE")/COUNTIFS(B:B,K22,C:C,"MobileNetV3-Large")*100</f>
        <v>40</v>
      </c>
      <c r="N22" s="17">
        <f t="shared" si="0"/>
        <v>60</v>
      </c>
      <c r="O22" s="17">
        <f>COUNTIFS(B:B,K22,C:C,"MobileNetV3-Small",I:I,"TRUE")/COUNTIFS(B:B,K22,C:C,"MobileNetV3-Small")*100</f>
        <v>40</v>
      </c>
      <c r="P22" s="18">
        <f t="shared" si="1"/>
        <v>75</v>
      </c>
    </row>
    <row r="23" spans="1:16" x14ac:dyDescent="0.25">
      <c r="A23" t="s">
        <v>22</v>
      </c>
      <c r="B23" t="s">
        <v>13</v>
      </c>
      <c r="C23" t="s">
        <v>5</v>
      </c>
      <c r="D23" t="s">
        <v>13</v>
      </c>
      <c r="E23">
        <v>49.44</v>
      </c>
      <c r="F23" t="s">
        <v>21</v>
      </c>
      <c r="G23">
        <v>35.43</v>
      </c>
      <c r="H23">
        <v>15.4</v>
      </c>
      <c r="I23" t="b">
        <v>1</v>
      </c>
      <c r="K23" s="10" t="s">
        <v>55</v>
      </c>
      <c r="L23" s="11">
        <v>534</v>
      </c>
      <c r="M23" s="21">
        <f>COUNTIFS(B:B,K23,C:C,"MobileNetV3-Large",I:I,"TRUE")/COUNTIFS(B:B,K23,C:C,"MobileNetV3-Large")*100</f>
        <v>80</v>
      </c>
      <c r="N23" s="15">
        <f t="shared" si="0"/>
        <v>100</v>
      </c>
      <c r="O23" s="18">
        <f>COUNTIFS(B:B,K23,C:C,"MobileNetV3-Small",I:I,"TRUE")/COUNTIFS(B:B,K23,C:C,"MobileNetV3-Small")*100</f>
        <v>80</v>
      </c>
      <c r="P23" s="18">
        <f t="shared" si="1"/>
        <v>85.714285714285708</v>
      </c>
    </row>
    <row r="24" spans="1:16" x14ac:dyDescent="0.25">
      <c r="A24" t="s">
        <v>23</v>
      </c>
      <c r="B24" t="s">
        <v>56</v>
      </c>
      <c r="C24" t="s">
        <v>5</v>
      </c>
      <c r="D24" t="s">
        <v>56</v>
      </c>
      <c r="E24">
        <v>50.04</v>
      </c>
      <c r="F24" t="s">
        <v>21</v>
      </c>
      <c r="G24">
        <v>49.56</v>
      </c>
      <c r="H24">
        <v>16.03</v>
      </c>
      <c r="I24" t="b">
        <v>1</v>
      </c>
      <c r="K24" s="10" t="s">
        <v>8</v>
      </c>
      <c r="L24" s="11">
        <v>494</v>
      </c>
      <c r="M24" s="22">
        <f>COUNTIFS(B:B,K24,C:C,"MobileNetV3-Large",I:I,"TRUE")/COUNTIFS(B:B,K24,C:C,"MobileNetV3-Large")*100</f>
        <v>100</v>
      </c>
      <c r="N24" s="15">
        <f t="shared" si="0"/>
        <v>100</v>
      </c>
      <c r="O24" s="15">
        <f>COUNTIFS(B:B,K24,C:C,"MobileNetV3-Small",I:I,"TRUE")/COUNTIFS(B:B,K24,C:C,"MobileNetV3-Small")*100</f>
        <v>100</v>
      </c>
      <c r="P24" s="15">
        <f t="shared" si="1"/>
        <v>100</v>
      </c>
    </row>
    <row r="25" spans="1:16" x14ac:dyDescent="0.25">
      <c r="A25" t="s">
        <v>23</v>
      </c>
      <c r="B25" t="s">
        <v>2</v>
      </c>
      <c r="C25" t="s">
        <v>5</v>
      </c>
      <c r="D25" t="s">
        <v>2</v>
      </c>
      <c r="E25">
        <v>50.23</v>
      </c>
      <c r="F25" t="s">
        <v>4</v>
      </c>
      <c r="G25">
        <v>47.91</v>
      </c>
      <c r="H25">
        <v>22.24</v>
      </c>
      <c r="I25" t="b">
        <v>1</v>
      </c>
      <c r="K25" s="12" t="s">
        <v>91</v>
      </c>
      <c r="L25" s="13">
        <v>29</v>
      </c>
      <c r="M25" s="23">
        <f>COUNTIFS(B:B,K25,C:C,"MobileNetV3-Large",I:I,"TRUE")/COUNTIFS(B:B,K25,C:C,"MobileNetV3-Large")*100</f>
        <v>40</v>
      </c>
      <c r="N25" s="23">
        <f t="shared" si="0"/>
        <v>50</v>
      </c>
      <c r="O25" s="16">
        <f>COUNTIFS(B:B,K25,C:C,"MobileNetV3-Small",I:I,"TRUE")/COUNTIFS(B:B,K25,C:C,"MobileNetV3-Small")*100</f>
        <v>0</v>
      </c>
      <c r="P25" s="16">
        <f t="shared" si="1"/>
        <v>0</v>
      </c>
    </row>
    <row r="26" spans="1:16" x14ac:dyDescent="0.25">
      <c r="A26" t="s">
        <v>24</v>
      </c>
      <c r="B26" t="s">
        <v>13</v>
      </c>
      <c r="C26" t="s">
        <v>5</v>
      </c>
      <c r="D26" t="s">
        <v>68</v>
      </c>
      <c r="E26">
        <v>50.9</v>
      </c>
      <c r="F26" t="s">
        <v>55</v>
      </c>
      <c r="G26">
        <v>46.6</v>
      </c>
      <c r="H26">
        <v>15.31</v>
      </c>
      <c r="I26" t="b">
        <v>0</v>
      </c>
    </row>
    <row r="27" spans="1:16" x14ac:dyDescent="0.25">
      <c r="A27" t="s">
        <v>24</v>
      </c>
      <c r="B27" t="s">
        <v>68</v>
      </c>
      <c r="C27" t="s">
        <v>5</v>
      </c>
      <c r="D27" t="s">
        <v>56</v>
      </c>
      <c r="E27">
        <v>51.32</v>
      </c>
      <c r="F27" t="s">
        <v>77</v>
      </c>
      <c r="G27">
        <v>46.82</v>
      </c>
      <c r="H27">
        <v>14.91</v>
      </c>
      <c r="I27" t="b">
        <v>0</v>
      </c>
      <c r="K27" s="1"/>
    </row>
    <row r="28" spans="1:16" x14ac:dyDescent="0.25">
      <c r="A28" t="s">
        <v>25</v>
      </c>
      <c r="B28" t="s">
        <v>91</v>
      </c>
      <c r="C28" t="s">
        <v>5</v>
      </c>
      <c r="D28" t="s">
        <v>77</v>
      </c>
      <c r="E28">
        <v>51.36</v>
      </c>
      <c r="F28" t="s">
        <v>55</v>
      </c>
      <c r="G28">
        <v>30.35</v>
      </c>
      <c r="H28">
        <v>15.78</v>
      </c>
      <c r="I28" t="b">
        <v>0</v>
      </c>
      <c r="K28" s="24"/>
      <c r="L28" s="24"/>
      <c r="M28" s="25"/>
      <c r="N28" s="25"/>
      <c r="O28" s="25"/>
      <c r="P28" s="25"/>
    </row>
    <row r="29" spans="1:16" x14ac:dyDescent="0.25">
      <c r="A29" t="s">
        <v>25</v>
      </c>
      <c r="B29" t="s">
        <v>13</v>
      </c>
      <c r="C29" t="s">
        <v>5</v>
      </c>
      <c r="D29" t="s">
        <v>13</v>
      </c>
      <c r="E29">
        <v>51.48</v>
      </c>
      <c r="F29" t="s">
        <v>21</v>
      </c>
      <c r="G29">
        <v>48.51</v>
      </c>
      <c r="H29">
        <v>16.940000000000001</v>
      </c>
      <c r="I29" t="b">
        <v>1</v>
      </c>
      <c r="K29" s="24"/>
      <c r="L29" s="24"/>
      <c r="M29" s="26"/>
      <c r="N29" s="26"/>
      <c r="O29" s="26"/>
      <c r="P29" s="26"/>
    </row>
    <row r="30" spans="1:16" x14ac:dyDescent="0.25">
      <c r="A30" t="s">
        <v>27</v>
      </c>
      <c r="B30" t="s">
        <v>26</v>
      </c>
      <c r="C30" t="s">
        <v>5</v>
      </c>
      <c r="D30" t="s">
        <v>2</v>
      </c>
      <c r="E30">
        <v>52.36</v>
      </c>
      <c r="F30" t="s">
        <v>12</v>
      </c>
      <c r="G30">
        <v>23.46</v>
      </c>
      <c r="H30">
        <v>17.899999999999999</v>
      </c>
      <c r="I30" t="b">
        <v>0</v>
      </c>
      <c r="K30" s="27"/>
      <c r="L30" s="27"/>
      <c r="M30" s="27"/>
      <c r="N30" s="28"/>
      <c r="O30" s="27"/>
      <c r="P30" s="28"/>
    </row>
    <row r="31" spans="1:16" x14ac:dyDescent="0.25">
      <c r="A31" t="s">
        <v>27</v>
      </c>
      <c r="B31" t="s">
        <v>35</v>
      </c>
      <c r="C31" t="s">
        <v>5</v>
      </c>
      <c r="D31" t="s">
        <v>68</v>
      </c>
      <c r="E31">
        <v>52.62</v>
      </c>
      <c r="F31" t="s">
        <v>39</v>
      </c>
      <c r="G31">
        <v>45.4</v>
      </c>
      <c r="H31">
        <v>15.79</v>
      </c>
      <c r="I31" t="b">
        <v>0</v>
      </c>
      <c r="K31" s="27"/>
      <c r="L31" s="27"/>
      <c r="M31" s="27"/>
      <c r="N31" s="28"/>
      <c r="O31" s="27"/>
      <c r="P31" s="28"/>
    </row>
    <row r="32" spans="1:16" x14ac:dyDescent="0.25">
      <c r="A32" t="s">
        <v>28</v>
      </c>
      <c r="B32" t="s">
        <v>39</v>
      </c>
      <c r="C32" t="s">
        <v>5</v>
      </c>
      <c r="D32" t="s">
        <v>39</v>
      </c>
      <c r="E32">
        <v>53.28</v>
      </c>
      <c r="F32" t="s">
        <v>35</v>
      </c>
      <c r="G32">
        <v>30.42</v>
      </c>
      <c r="H32">
        <v>16.14</v>
      </c>
      <c r="I32" t="b">
        <v>1</v>
      </c>
      <c r="K32" s="27"/>
      <c r="L32" s="27"/>
      <c r="M32" s="27"/>
      <c r="N32" s="28"/>
      <c r="O32" s="27"/>
      <c r="P32" s="28"/>
    </row>
    <row r="33" spans="1:16" x14ac:dyDescent="0.25">
      <c r="A33" t="s">
        <v>28</v>
      </c>
      <c r="B33" t="s">
        <v>7</v>
      </c>
      <c r="C33" t="s">
        <v>3</v>
      </c>
      <c r="D33" t="s">
        <v>18</v>
      </c>
      <c r="E33">
        <v>53.47</v>
      </c>
      <c r="F33" t="s">
        <v>7</v>
      </c>
      <c r="G33">
        <v>46.42</v>
      </c>
      <c r="H33">
        <v>28.78</v>
      </c>
      <c r="I33" t="b">
        <v>0</v>
      </c>
      <c r="K33" s="27"/>
      <c r="L33" s="27"/>
      <c r="M33" s="27"/>
      <c r="N33" s="28"/>
      <c r="O33" s="27"/>
      <c r="P33" s="28"/>
    </row>
    <row r="34" spans="1:16" x14ac:dyDescent="0.25">
      <c r="A34" t="s">
        <v>29</v>
      </c>
      <c r="B34" t="s">
        <v>55</v>
      </c>
      <c r="C34" t="s">
        <v>5</v>
      </c>
      <c r="D34" t="s">
        <v>55</v>
      </c>
      <c r="E34">
        <v>53.63</v>
      </c>
      <c r="F34" t="s">
        <v>77</v>
      </c>
      <c r="G34">
        <v>40.299999999999997</v>
      </c>
      <c r="H34">
        <v>18.39</v>
      </c>
      <c r="I34" t="b">
        <v>1</v>
      </c>
      <c r="K34" s="27"/>
      <c r="L34" s="27"/>
      <c r="M34" s="27"/>
      <c r="N34" s="28"/>
      <c r="O34" s="27"/>
      <c r="P34" s="28"/>
    </row>
    <row r="35" spans="1:16" x14ac:dyDescent="0.25">
      <c r="A35" t="s">
        <v>29</v>
      </c>
      <c r="B35" t="s">
        <v>12</v>
      </c>
      <c r="C35" t="s">
        <v>3</v>
      </c>
      <c r="D35" t="s">
        <v>26</v>
      </c>
      <c r="E35">
        <v>54.05</v>
      </c>
      <c r="F35" t="s">
        <v>18</v>
      </c>
      <c r="G35">
        <v>44.36</v>
      </c>
      <c r="H35">
        <v>27.11</v>
      </c>
      <c r="I35" t="b">
        <v>0</v>
      </c>
      <c r="K35" s="27"/>
      <c r="L35" s="27"/>
      <c r="M35" s="27"/>
      <c r="N35" s="28"/>
      <c r="O35" s="27"/>
      <c r="P35" s="28"/>
    </row>
    <row r="36" spans="1:16" x14ac:dyDescent="0.25">
      <c r="A36" t="s">
        <v>30</v>
      </c>
      <c r="B36" t="s">
        <v>45</v>
      </c>
      <c r="C36" t="s">
        <v>5</v>
      </c>
      <c r="D36" t="s">
        <v>18</v>
      </c>
      <c r="E36">
        <v>54.43</v>
      </c>
      <c r="F36" t="s">
        <v>45</v>
      </c>
      <c r="G36">
        <v>29.09</v>
      </c>
      <c r="H36">
        <v>16.63</v>
      </c>
      <c r="I36" t="b">
        <v>0</v>
      </c>
      <c r="K36" s="27"/>
      <c r="L36" s="27"/>
      <c r="M36" s="27"/>
      <c r="N36" s="28"/>
      <c r="O36" s="27"/>
      <c r="P36" s="28"/>
    </row>
    <row r="37" spans="1:16" x14ac:dyDescent="0.25">
      <c r="A37" t="s">
        <v>30</v>
      </c>
      <c r="B37" t="s">
        <v>26</v>
      </c>
      <c r="C37" t="s">
        <v>5</v>
      </c>
      <c r="D37" t="s">
        <v>26</v>
      </c>
      <c r="E37">
        <v>54.81</v>
      </c>
      <c r="F37" t="s">
        <v>18</v>
      </c>
      <c r="G37">
        <v>37.549999999999997</v>
      </c>
      <c r="H37">
        <v>15.97</v>
      </c>
      <c r="I37" t="b">
        <v>1</v>
      </c>
      <c r="K37" s="27"/>
      <c r="L37" s="27"/>
      <c r="M37" s="27"/>
      <c r="N37" s="28"/>
      <c r="O37" s="27"/>
      <c r="P37" s="28"/>
    </row>
    <row r="38" spans="1:16" x14ac:dyDescent="0.25">
      <c r="A38" t="s">
        <v>31</v>
      </c>
      <c r="B38" t="s">
        <v>68</v>
      </c>
      <c r="C38" t="s">
        <v>3</v>
      </c>
      <c r="D38" t="s">
        <v>68</v>
      </c>
      <c r="E38">
        <v>56.35</v>
      </c>
      <c r="F38" t="s">
        <v>16</v>
      </c>
      <c r="G38">
        <v>42.77</v>
      </c>
      <c r="H38">
        <v>33.630000000000003</v>
      </c>
      <c r="I38" t="b">
        <v>1</v>
      </c>
      <c r="K38" s="27"/>
      <c r="L38" s="27"/>
      <c r="M38" s="27"/>
      <c r="N38" s="28"/>
      <c r="O38" s="27"/>
      <c r="P38" s="28"/>
    </row>
    <row r="39" spans="1:16" x14ac:dyDescent="0.25">
      <c r="A39" t="s">
        <v>31</v>
      </c>
      <c r="B39" t="s">
        <v>39</v>
      </c>
      <c r="C39" t="s">
        <v>3</v>
      </c>
      <c r="D39" t="s">
        <v>18</v>
      </c>
      <c r="E39">
        <v>56.51</v>
      </c>
      <c r="F39" t="s">
        <v>35</v>
      </c>
      <c r="G39">
        <v>36.369999999999997</v>
      </c>
      <c r="H39">
        <v>30.61</v>
      </c>
      <c r="I39" t="b">
        <v>0</v>
      </c>
      <c r="K39" s="27"/>
      <c r="L39" s="27"/>
      <c r="M39" s="27"/>
      <c r="N39" s="28"/>
      <c r="O39" s="27"/>
      <c r="P39" s="28"/>
    </row>
    <row r="40" spans="1:16" x14ac:dyDescent="0.25">
      <c r="A40" t="s">
        <v>32</v>
      </c>
      <c r="B40" t="s">
        <v>91</v>
      </c>
      <c r="C40" t="s">
        <v>3</v>
      </c>
      <c r="D40" t="s">
        <v>55</v>
      </c>
      <c r="E40">
        <v>56.85</v>
      </c>
      <c r="F40" t="s">
        <v>16</v>
      </c>
      <c r="G40">
        <v>37.31</v>
      </c>
      <c r="H40">
        <v>36.159999999999997</v>
      </c>
      <c r="I40" t="b">
        <v>0</v>
      </c>
      <c r="K40" s="27"/>
      <c r="L40" s="27"/>
      <c r="M40" s="27"/>
      <c r="N40" s="28"/>
      <c r="O40" s="27"/>
      <c r="P40" s="28"/>
    </row>
    <row r="41" spans="1:16" x14ac:dyDescent="0.25">
      <c r="A41" t="s">
        <v>32</v>
      </c>
      <c r="B41" t="s">
        <v>13</v>
      </c>
      <c r="C41" t="s">
        <v>5</v>
      </c>
      <c r="D41" t="s">
        <v>13</v>
      </c>
      <c r="E41">
        <v>57.18</v>
      </c>
      <c r="F41" t="s">
        <v>39</v>
      </c>
      <c r="G41">
        <v>19.899999999999999</v>
      </c>
      <c r="H41">
        <v>15.36</v>
      </c>
      <c r="I41" t="b">
        <v>1</v>
      </c>
      <c r="K41" s="27"/>
      <c r="L41" s="29"/>
      <c r="M41" s="27"/>
      <c r="N41" s="28"/>
      <c r="O41" s="27"/>
      <c r="P41" s="28"/>
    </row>
    <row r="42" spans="1:16" x14ac:dyDescent="0.25">
      <c r="A42" t="s">
        <v>33</v>
      </c>
      <c r="B42" t="s">
        <v>7</v>
      </c>
      <c r="C42" t="s">
        <v>3</v>
      </c>
      <c r="D42" t="s">
        <v>7</v>
      </c>
      <c r="E42">
        <v>57.33</v>
      </c>
      <c r="F42" t="s">
        <v>18</v>
      </c>
      <c r="G42">
        <v>33.49</v>
      </c>
      <c r="H42">
        <v>32.43</v>
      </c>
      <c r="I42" t="b">
        <v>1</v>
      </c>
      <c r="K42" s="27"/>
      <c r="L42" s="27"/>
      <c r="M42" s="27"/>
      <c r="N42" s="28"/>
      <c r="O42" s="27"/>
      <c r="P42" s="28"/>
    </row>
    <row r="43" spans="1:16" x14ac:dyDescent="0.25">
      <c r="A43" t="s">
        <v>33</v>
      </c>
      <c r="B43" t="s">
        <v>68</v>
      </c>
      <c r="C43" t="s">
        <v>3</v>
      </c>
      <c r="D43" t="s">
        <v>55</v>
      </c>
      <c r="E43">
        <v>57.82</v>
      </c>
      <c r="F43" t="s">
        <v>77</v>
      </c>
      <c r="G43">
        <v>36.130000000000003</v>
      </c>
      <c r="H43">
        <v>26.2</v>
      </c>
      <c r="I43" t="b">
        <v>0</v>
      </c>
      <c r="K43" s="27"/>
      <c r="L43" s="27"/>
      <c r="M43" s="27"/>
      <c r="N43" s="28"/>
      <c r="O43" s="27"/>
      <c r="P43" s="28"/>
    </row>
    <row r="44" spans="1:16" x14ac:dyDescent="0.25">
      <c r="A44" t="s">
        <v>14</v>
      </c>
      <c r="B44" t="s">
        <v>26</v>
      </c>
      <c r="C44" t="s">
        <v>5</v>
      </c>
      <c r="D44" t="s">
        <v>26</v>
      </c>
      <c r="E44">
        <v>58.39</v>
      </c>
      <c r="F44" t="s">
        <v>45</v>
      </c>
      <c r="G44">
        <v>41.18</v>
      </c>
      <c r="H44">
        <v>15.2</v>
      </c>
      <c r="I44" t="b">
        <v>1</v>
      </c>
      <c r="K44" s="27"/>
      <c r="L44" s="27"/>
      <c r="M44" s="27"/>
      <c r="N44" s="28"/>
      <c r="O44" s="27"/>
      <c r="P44" s="28"/>
    </row>
    <row r="45" spans="1:16" x14ac:dyDescent="0.25">
      <c r="A45" t="s">
        <v>14</v>
      </c>
      <c r="B45" t="s">
        <v>35</v>
      </c>
      <c r="C45" t="s">
        <v>3</v>
      </c>
      <c r="D45" t="s">
        <v>35</v>
      </c>
      <c r="E45">
        <v>58.43</v>
      </c>
      <c r="F45" t="s">
        <v>16</v>
      </c>
      <c r="G45">
        <v>30.91</v>
      </c>
      <c r="H45">
        <v>28.56</v>
      </c>
      <c r="I45" t="b">
        <v>1</v>
      </c>
      <c r="K45" s="27"/>
      <c r="L45" s="27"/>
      <c r="M45" s="27"/>
      <c r="N45" s="28"/>
      <c r="O45" s="27"/>
      <c r="P45" s="28"/>
    </row>
    <row r="46" spans="1:16" x14ac:dyDescent="0.25">
      <c r="A46" t="s">
        <v>34</v>
      </c>
      <c r="B46" t="s">
        <v>45</v>
      </c>
      <c r="C46" t="s">
        <v>3</v>
      </c>
      <c r="D46" t="s">
        <v>45</v>
      </c>
      <c r="E46">
        <v>58.52</v>
      </c>
      <c r="F46" t="s">
        <v>7</v>
      </c>
      <c r="G46">
        <v>22.21</v>
      </c>
      <c r="H46">
        <v>28.1</v>
      </c>
      <c r="I46" t="b">
        <v>1</v>
      </c>
      <c r="K46" s="27"/>
      <c r="L46" s="27"/>
      <c r="M46" s="27"/>
      <c r="N46" s="28"/>
      <c r="O46" s="27"/>
      <c r="P46" s="28"/>
    </row>
    <row r="47" spans="1:16" x14ac:dyDescent="0.25">
      <c r="A47" t="s">
        <v>34</v>
      </c>
      <c r="B47" t="s">
        <v>26</v>
      </c>
      <c r="C47" t="s">
        <v>5</v>
      </c>
      <c r="D47" t="s">
        <v>18</v>
      </c>
      <c r="E47">
        <v>59.67</v>
      </c>
      <c r="F47" t="s">
        <v>26</v>
      </c>
      <c r="G47">
        <v>40.299999999999997</v>
      </c>
      <c r="H47">
        <v>16.89</v>
      </c>
      <c r="I47" t="b">
        <v>0</v>
      </c>
      <c r="K47" s="27"/>
      <c r="L47" s="29"/>
      <c r="M47" s="27"/>
      <c r="N47" s="28"/>
      <c r="O47" s="27"/>
      <c r="P47" s="28"/>
    </row>
    <row r="48" spans="1:16" x14ac:dyDescent="0.25">
      <c r="A48" t="s">
        <v>36</v>
      </c>
      <c r="B48" t="s">
        <v>55</v>
      </c>
      <c r="C48" t="s">
        <v>5</v>
      </c>
      <c r="D48" t="s">
        <v>55</v>
      </c>
      <c r="E48">
        <v>59.85</v>
      </c>
      <c r="F48" t="s">
        <v>16</v>
      </c>
      <c r="G48">
        <v>40.090000000000003</v>
      </c>
      <c r="H48">
        <v>17.23</v>
      </c>
      <c r="I48" t="b">
        <v>1</v>
      </c>
    </row>
    <row r="49" spans="1:9" x14ac:dyDescent="0.25">
      <c r="A49" t="s">
        <v>36</v>
      </c>
      <c r="B49" t="s">
        <v>18</v>
      </c>
      <c r="C49" t="s">
        <v>3</v>
      </c>
      <c r="D49" t="s">
        <v>12</v>
      </c>
      <c r="E49">
        <v>60.21</v>
      </c>
      <c r="F49" t="s">
        <v>18</v>
      </c>
      <c r="G49">
        <v>22.14</v>
      </c>
      <c r="H49">
        <v>31.25</v>
      </c>
      <c r="I49" t="b">
        <v>0</v>
      </c>
    </row>
    <row r="50" spans="1:9" x14ac:dyDescent="0.25">
      <c r="A50" t="s">
        <v>37</v>
      </c>
      <c r="B50" t="s">
        <v>4</v>
      </c>
      <c r="C50" t="s">
        <v>5</v>
      </c>
      <c r="D50" t="s">
        <v>2</v>
      </c>
      <c r="E50">
        <v>60.87</v>
      </c>
      <c r="F50" t="s">
        <v>4</v>
      </c>
      <c r="G50">
        <v>37.14</v>
      </c>
      <c r="H50">
        <v>20.62</v>
      </c>
      <c r="I50" t="b">
        <v>0</v>
      </c>
    </row>
    <row r="51" spans="1:9" x14ac:dyDescent="0.25">
      <c r="A51" t="s">
        <v>37</v>
      </c>
      <c r="B51" t="s">
        <v>39</v>
      </c>
      <c r="C51" t="s">
        <v>5</v>
      </c>
      <c r="D51" t="s">
        <v>39</v>
      </c>
      <c r="E51">
        <v>60.87</v>
      </c>
      <c r="F51" t="s">
        <v>35</v>
      </c>
      <c r="G51">
        <v>39.090000000000003</v>
      </c>
      <c r="H51">
        <v>17.32</v>
      </c>
      <c r="I51" t="b">
        <v>1</v>
      </c>
    </row>
    <row r="52" spans="1:9" x14ac:dyDescent="0.25">
      <c r="A52" t="s">
        <v>38</v>
      </c>
      <c r="B52" t="s">
        <v>91</v>
      </c>
      <c r="C52" t="s">
        <v>5</v>
      </c>
      <c r="D52" t="s">
        <v>77</v>
      </c>
      <c r="E52">
        <v>61.3</v>
      </c>
      <c r="F52" t="s">
        <v>56</v>
      </c>
      <c r="G52">
        <v>37.35</v>
      </c>
      <c r="H52">
        <v>20.6</v>
      </c>
      <c r="I52" t="b">
        <v>0</v>
      </c>
    </row>
    <row r="53" spans="1:9" x14ac:dyDescent="0.25">
      <c r="A53" t="s">
        <v>38</v>
      </c>
      <c r="B53" t="s">
        <v>45</v>
      </c>
      <c r="C53" t="s">
        <v>5</v>
      </c>
      <c r="D53" t="s">
        <v>39</v>
      </c>
      <c r="E53">
        <v>61.68</v>
      </c>
      <c r="F53" t="s">
        <v>35</v>
      </c>
      <c r="G53">
        <v>15.26</v>
      </c>
      <c r="H53">
        <v>16.36</v>
      </c>
      <c r="I53" t="b">
        <v>0</v>
      </c>
    </row>
    <row r="54" spans="1:9" x14ac:dyDescent="0.25">
      <c r="A54" t="s">
        <v>40</v>
      </c>
      <c r="B54" t="s">
        <v>21</v>
      </c>
      <c r="C54" t="s">
        <v>3</v>
      </c>
      <c r="D54" t="s">
        <v>13</v>
      </c>
      <c r="E54">
        <v>61.71</v>
      </c>
      <c r="F54" t="s">
        <v>21</v>
      </c>
      <c r="G54">
        <v>38.18</v>
      </c>
      <c r="H54">
        <v>27.64</v>
      </c>
      <c r="I54" t="b">
        <v>0</v>
      </c>
    </row>
    <row r="55" spans="1:9" x14ac:dyDescent="0.25">
      <c r="A55" t="s">
        <v>40</v>
      </c>
      <c r="B55" t="s">
        <v>13</v>
      </c>
      <c r="C55" t="s">
        <v>5</v>
      </c>
      <c r="D55" t="s">
        <v>21</v>
      </c>
      <c r="E55">
        <v>62.58</v>
      </c>
      <c r="F55" t="s">
        <v>13</v>
      </c>
      <c r="G55">
        <v>27.15</v>
      </c>
      <c r="H55">
        <v>16.18</v>
      </c>
      <c r="I55" t="b">
        <v>0</v>
      </c>
    </row>
    <row r="56" spans="1:9" x14ac:dyDescent="0.25">
      <c r="A56" t="s">
        <v>41</v>
      </c>
      <c r="B56" t="s">
        <v>35</v>
      </c>
      <c r="C56" t="s">
        <v>3</v>
      </c>
      <c r="D56" t="s">
        <v>35</v>
      </c>
      <c r="E56">
        <v>62.6</v>
      </c>
      <c r="F56" t="s">
        <v>16</v>
      </c>
      <c r="G56">
        <v>36.6</v>
      </c>
      <c r="H56">
        <v>31.52</v>
      </c>
      <c r="I56" t="b">
        <v>1</v>
      </c>
    </row>
    <row r="57" spans="1:9" x14ac:dyDescent="0.25">
      <c r="A57" t="s">
        <v>41</v>
      </c>
      <c r="B57" t="s">
        <v>12</v>
      </c>
      <c r="C57" t="s">
        <v>3</v>
      </c>
      <c r="D57" t="s">
        <v>7</v>
      </c>
      <c r="E57">
        <v>62.73</v>
      </c>
      <c r="F57" t="s">
        <v>12</v>
      </c>
      <c r="G57">
        <v>36.840000000000003</v>
      </c>
      <c r="H57">
        <v>29.88</v>
      </c>
      <c r="I57" t="b">
        <v>0</v>
      </c>
    </row>
    <row r="58" spans="1:9" x14ac:dyDescent="0.25">
      <c r="A58" t="s">
        <v>42</v>
      </c>
      <c r="B58" t="s">
        <v>39</v>
      </c>
      <c r="C58" t="s">
        <v>5</v>
      </c>
      <c r="D58" t="s">
        <v>39</v>
      </c>
      <c r="E58">
        <v>63.1</v>
      </c>
      <c r="F58" t="s">
        <v>35</v>
      </c>
      <c r="G58">
        <v>30.39</v>
      </c>
      <c r="H58">
        <v>15.65</v>
      </c>
      <c r="I58" t="b">
        <v>1</v>
      </c>
    </row>
    <row r="59" spans="1:9" x14ac:dyDescent="0.25">
      <c r="A59" t="s">
        <v>42</v>
      </c>
      <c r="B59" t="s">
        <v>12</v>
      </c>
      <c r="C59" t="s">
        <v>5</v>
      </c>
      <c r="D59" t="s">
        <v>12</v>
      </c>
      <c r="E59">
        <v>63.34</v>
      </c>
      <c r="F59" t="s">
        <v>18</v>
      </c>
      <c r="G59">
        <v>36.5</v>
      </c>
      <c r="H59">
        <v>17.18</v>
      </c>
      <c r="I59" t="b">
        <v>1</v>
      </c>
    </row>
    <row r="60" spans="1:9" x14ac:dyDescent="0.25">
      <c r="A60" t="s">
        <v>43</v>
      </c>
      <c r="B60" t="s">
        <v>77</v>
      </c>
      <c r="C60" t="s">
        <v>5</v>
      </c>
      <c r="D60" t="s">
        <v>55</v>
      </c>
      <c r="E60">
        <v>63.42</v>
      </c>
      <c r="F60" t="s">
        <v>77</v>
      </c>
      <c r="G60">
        <v>35.92</v>
      </c>
      <c r="H60">
        <v>18.03</v>
      </c>
      <c r="I60" t="b">
        <v>0</v>
      </c>
    </row>
    <row r="61" spans="1:9" x14ac:dyDescent="0.25">
      <c r="A61" t="s">
        <v>43</v>
      </c>
      <c r="B61" t="s">
        <v>91</v>
      </c>
      <c r="C61" t="s">
        <v>3</v>
      </c>
      <c r="D61" t="s">
        <v>91</v>
      </c>
      <c r="E61">
        <v>63.47</v>
      </c>
      <c r="F61" t="s">
        <v>56</v>
      </c>
      <c r="G61">
        <v>25.1</v>
      </c>
      <c r="H61">
        <v>27.07</v>
      </c>
      <c r="I61" t="b">
        <v>1</v>
      </c>
    </row>
    <row r="62" spans="1:9" x14ac:dyDescent="0.25">
      <c r="A62" t="s">
        <v>44</v>
      </c>
      <c r="B62" t="s">
        <v>35</v>
      </c>
      <c r="C62" t="s">
        <v>5</v>
      </c>
      <c r="D62" t="s">
        <v>35</v>
      </c>
      <c r="E62">
        <v>63.72</v>
      </c>
      <c r="F62" t="s">
        <v>39</v>
      </c>
      <c r="G62">
        <v>36.21</v>
      </c>
      <c r="H62">
        <v>18.37</v>
      </c>
      <c r="I62" t="b">
        <v>1</v>
      </c>
    </row>
    <row r="63" spans="1:9" x14ac:dyDescent="0.25">
      <c r="A63" t="s">
        <v>44</v>
      </c>
      <c r="B63" t="s">
        <v>12</v>
      </c>
      <c r="C63" t="s">
        <v>5</v>
      </c>
      <c r="D63" t="s">
        <v>4</v>
      </c>
      <c r="E63">
        <v>63.8</v>
      </c>
      <c r="F63" t="s">
        <v>45</v>
      </c>
      <c r="G63">
        <v>15.4</v>
      </c>
      <c r="H63">
        <v>14.62</v>
      </c>
      <c r="I63" t="b">
        <v>0</v>
      </c>
    </row>
    <row r="64" spans="1:9" x14ac:dyDescent="0.25">
      <c r="A64" t="s">
        <v>46</v>
      </c>
      <c r="B64" t="s">
        <v>18</v>
      </c>
      <c r="C64" t="s">
        <v>5</v>
      </c>
      <c r="D64" t="s">
        <v>13</v>
      </c>
      <c r="E64">
        <v>63.91</v>
      </c>
      <c r="F64" t="s">
        <v>8</v>
      </c>
      <c r="G64">
        <v>18.09</v>
      </c>
      <c r="H64">
        <v>16.29</v>
      </c>
      <c r="I64" t="b">
        <v>0</v>
      </c>
    </row>
    <row r="65" spans="1:9" x14ac:dyDescent="0.25">
      <c r="A65" t="s">
        <v>46</v>
      </c>
      <c r="B65" t="s">
        <v>68</v>
      </c>
      <c r="C65" t="s">
        <v>5</v>
      </c>
      <c r="D65" t="s">
        <v>55</v>
      </c>
      <c r="E65">
        <v>64.819999999999993</v>
      </c>
      <c r="F65" t="s">
        <v>68</v>
      </c>
      <c r="G65">
        <v>31.49</v>
      </c>
      <c r="H65">
        <v>17.809999999999999</v>
      </c>
      <c r="I65" t="b">
        <v>0</v>
      </c>
    </row>
    <row r="66" spans="1:9" x14ac:dyDescent="0.25">
      <c r="A66" t="s">
        <v>47</v>
      </c>
      <c r="B66" t="s">
        <v>12</v>
      </c>
      <c r="C66" t="s">
        <v>5</v>
      </c>
      <c r="D66" t="s">
        <v>18</v>
      </c>
      <c r="E66">
        <v>64.97</v>
      </c>
      <c r="F66" t="s">
        <v>13</v>
      </c>
      <c r="G66">
        <v>18.59</v>
      </c>
      <c r="H66">
        <v>18.87</v>
      </c>
      <c r="I66" t="b">
        <v>0</v>
      </c>
    </row>
    <row r="67" spans="1:9" x14ac:dyDescent="0.25">
      <c r="A67" t="s">
        <v>47</v>
      </c>
      <c r="B67" t="s">
        <v>91</v>
      </c>
      <c r="C67" t="s">
        <v>5</v>
      </c>
      <c r="D67" t="s">
        <v>55</v>
      </c>
      <c r="E67">
        <v>64.97</v>
      </c>
      <c r="F67" t="s">
        <v>56</v>
      </c>
      <c r="G67">
        <v>35</v>
      </c>
      <c r="H67">
        <v>16.29</v>
      </c>
      <c r="I67" t="b">
        <v>0</v>
      </c>
    </row>
    <row r="68" spans="1:9" x14ac:dyDescent="0.25">
      <c r="A68" t="s">
        <v>48</v>
      </c>
      <c r="B68" t="s">
        <v>91</v>
      </c>
      <c r="C68" t="s">
        <v>5</v>
      </c>
      <c r="D68" t="s">
        <v>77</v>
      </c>
      <c r="E68">
        <v>65.69</v>
      </c>
      <c r="F68" t="s">
        <v>55</v>
      </c>
      <c r="G68">
        <v>34.119999999999997</v>
      </c>
      <c r="H68">
        <v>21.56</v>
      </c>
      <c r="I68" t="b">
        <v>0</v>
      </c>
    </row>
    <row r="69" spans="1:9" x14ac:dyDescent="0.25">
      <c r="A69" t="s">
        <v>48</v>
      </c>
      <c r="B69" t="s">
        <v>55</v>
      </c>
      <c r="C69" t="s">
        <v>5</v>
      </c>
      <c r="D69" t="s">
        <v>77</v>
      </c>
      <c r="E69">
        <v>65.86</v>
      </c>
      <c r="F69" t="s">
        <v>55</v>
      </c>
      <c r="G69">
        <v>34.130000000000003</v>
      </c>
      <c r="H69">
        <v>16.71</v>
      </c>
      <c r="I69" t="b">
        <v>0</v>
      </c>
    </row>
    <row r="70" spans="1:9" x14ac:dyDescent="0.25">
      <c r="A70" t="s">
        <v>49</v>
      </c>
      <c r="B70" t="s">
        <v>91</v>
      </c>
      <c r="C70" t="s">
        <v>5</v>
      </c>
      <c r="D70" t="s">
        <v>55</v>
      </c>
      <c r="E70">
        <v>66.05</v>
      </c>
      <c r="F70" t="s">
        <v>77</v>
      </c>
      <c r="G70">
        <v>33.04</v>
      </c>
      <c r="H70">
        <v>20.05</v>
      </c>
      <c r="I70" t="b">
        <v>0</v>
      </c>
    </row>
    <row r="71" spans="1:9" x14ac:dyDescent="0.25">
      <c r="A71" t="s">
        <v>49</v>
      </c>
      <c r="B71" t="s">
        <v>35</v>
      </c>
      <c r="C71" t="s">
        <v>3</v>
      </c>
      <c r="D71" t="s">
        <v>39</v>
      </c>
      <c r="E71">
        <v>66.16</v>
      </c>
      <c r="F71" t="s">
        <v>35</v>
      </c>
      <c r="G71">
        <v>16.38</v>
      </c>
      <c r="H71">
        <v>31.52</v>
      </c>
      <c r="I71" t="b">
        <v>0</v>
      </c>
    </row>
    <row r="72" spans="1:9" x14ac:dyDescent="0.25">
      <c r="A72" t="s">
        <v>50</v>
      </c>
      <c r="B72" t="s">
        <v>35</v>
      </c>
      <c r="C72" t="s">
        <v>3</v>
      </c>
      <c r="D72" t="s">
        <v>35</v>
      </c>
      <c r="E72">
        <v>66.430000000000007</v>
      </c>
      <c r="F72" t="s">
        <v>39</v>
      </c>
      <c r="G72">
        <v>28.9</v>
      </c>
      <c r="H72">
        <v>30.33</v>
      </c>
      <c r="I72" t="b">
        <v>1</v>
      </c>
    </row>
    <row r="73" spans="1:9" x14ac:dyDescent="0.25">
      <c r="A73" t="s">
        <v>50</v>
      </c>
      <c r="B73" t="s">
        <v>35</v>
      </c>
      <c r="C73" t="s">
        <v>5</v>
      </c>
      <c r="D73" t="s">
        <v>35</v>
      </c>
      <c r="E73">
        <v>66.45</v>
      </c>
      <c r="F73" t="s">
        <v>39</v>
      </c>
      <c r="G73">
        <v>32.549999999999997</v>
      </c>
      <c r="H73">
        <v>16.440000000000001</v>
      </c>
      <c r="I73" t="b">
        <v>1</v>
      </c>
    </row>
    <row r="74" spans="1:9" x14ac:dyDescent="0.25">
      <c r="A74" t="s">
        <v>51</v>
      </c>
      <c r="B74" t="s">
        <v>68</v>
      </c>
      <c r="C74" t="s">
        <v>3</v>
      </c>
      <c r="D74" t="s">
        <v>7</v>
      </c>
      <c r="E74">
        <v>67.42</v>
      </c>
      <c r="F74" t="s">
        <v>56</v>
      </c>
      <c r="G74">
        <v>28.69</v>
      </c>
      <c r="H74">
        <v>27.56</v>
      </c>
      <c r="I74" t="b">
        <v>0</v>
      </c>
    </row>
    <row r="75" spans="1:9" x14ac:dyDescent="0.25">
      <c r="A75" t="s">
        <v>51</v>
      </c>
      <c r="B75" t="s">
        <v>12</v>
      </c>
      <c r="C75" t="s">
        <v>5</v>
      </c>
      <c r="D75" t="s">
        <v>16</v>
      </c>
      <c r="E75">
        <v>67.78</v>
      </c>
      <c r="F75" t="s">
        <v>18</v>
      </c>
      <c r="G75">
        <v>23.81</v>
      </c>
      <c r="H75">
        <v>14.65</v>
      </c>
      <c r="I75" t="b">
        <v>0</v>
      </c>
    </row>
    <row r="76" spans="1:9" x14ac:dyDescent="0.25">
      <c r="A76" t="s">
        <v>52</v>
      </c>
      <c r="B76" t="s">
        <v>18</v>
      </c>
      <c r="C76" t="s">
        <v>5</v>
      </c>
      <c r="D76" t="s">
        <v>8</v>
      </c>
      <c r="E76">
        <v>69.59</v>
      </c>
      <c r="F76" t="s">
        <v>18</v>
      </c>
      <c r="G76">
        <v>26.53</v>
      </c>
      <c r="H76">
        <v>16.78</v>
      </c>
      <c r="I76" t="b">
        <v>0</v>
      </c>
    </row>
    <row r="77" spans="1:9" x14ac:dyDescent="0.25">
      <c r="A77" t="s">
        <v>52</v>
      </c>
      <c r="B77" t="s">
        <v>2</v>
      </c>
      <c r="C77" t="s">
        <v>5</v>
      </c>
      <c r="D77" t="s">
        <v>7</v>
      </c>
      <c r="E77">
        <v>70.44</v>
      </c>
      <c r="F77" t="s">
        <v>8</v>
      </c>
      <c r="G77">
        <v>18.809999999999999</v>
      </c>
      <c r="H77">
        <v>15.31</v>
      </c>
      <c r="I77" t="b">
        <v>0</v>
      </c>
    </row>
    <row r="78" spans="1:9" x14ac:dyDescent="0.25">
      <c r="A78" t="s">
        <v>53</v>
      </c>
      <c r="B78" t="s">
        <v>68</v>
      </c>
      <c r="C78" t="s">
        <v>3</v>
      </c>
      <c r="D78" t="s">
        <v>21</v>
      </c>
      <c r="E78">
        <v>70.459999999999994</v>
      </c>
      <c r="F78" t="s">
        <v>68</v>
      </c>
      <c r="G78">
        <v>28.85</v>
      </c>
      <c r="H78">
        <v>28.76</v>
      </c>
      <c r="I78" t="b">
        <v>0</v>
      </c>
    </row>
    <row r="79" spans="1:9" x14ac:dyDescent="0.25">
      <c r="A79" t="s">
        <v>53</v>
      </c>
      <c r="B79" t="s">
        <v>45</v>
      </c>
      <c r="C79" t="s">
        <v>3</v>
      </c>
      <c r="D79" t="s">
        <v>26</v>
      </c>
      <c r="E79">
        <v>71.06</v>
      </c>
      <c r="F79" t="s">
        <v>39</v>
      </c>
      <c r="G79">
        <v>28.68</v>
      </c>
      <c r="H79">
        <v>29.31</v>
      </c>
      <c r="I79" t="b">
        <v>0</v>
      </c>
    </row>
    <row r="80" spans="1:9" x14ac:dyDescent="0.25">
      <c r="A80" t="s">
        <v>54</v>
      </c>
      <c r="B80" t="s">
        <v>2</v>
      </c>
      <c r="C80" t="s">
        <v>3</v>
      </c>
      <c r="D80" t="s">
        <v>2</v>
      </c>
      <c r="E80">
        <v>71.62</v>
      </c>
      <c r="F80" t="s">
        <v>16</v>
      </c>
      <c r="G80">
        <v>16.670000000000002</v>
      </c>
      <c r="H80">
        <v>29.77</v>
      </c>
      <c r="I80" t="b">
        <v>1</v>
      </c>
    </row>
    <row r="81" spans="1:9" x14ac:dyDescent="0.25">
      <c r="A81" t="s">
        <v>54</v>
      </c>
      <c r="B81" t="s">
        <v>68</v>
      </c>
      <c r="C81" t="s">
        <v>5</v>
      </c>
      <c r="D81" t="s">
        <v>77</v>
      </c>
      <c r="E81">
        <v>71.680000000000007</v>
      </c>
      <c r="F81" t="s">
        <v>55</v>
      </c>
      <c r="G81">
        <v>28.29</v>
      </c>
      <c r="H81">
        <v>15.11</v>
      </c>
      <c r="I81" t="b">
        <v>0</v>
      </c>
    </row>
    <row r="82" spans="1:9" x14ac:dyDescent="0.25">
      <c r="A82" t="s">
        <v>14</v>
      </c>
      <c r="B82" t="s">
        <v>21</v>
      </c>
      <c r="C82" t="s">
        <v>5</v>
      </c>
      <c r="D82" t="s">
        <v>13</v>
      </c>
      <c r="E82">
        <v>72.36</v>
      </c>
      <c r="F82" t="s">
        <v>56</v>
      </c>
      <c r="G82">
        <v>18.260000000000002</v>
      </c>
      <c r="H82">
        <v>14.97</v>
      </c>
      <c r="I82" t="b">
        <v>0</v>
      </c>
    </row>
    <row r="83" spans="1:9" x14ac:dyDescent="0.25">
      <c r="A83" t="s">
        <v>14</v>
      </c>
      <c r="B83" t="s">
        <v>45</v>
      </c>
      <c r="C83" t="s">
        <v>5</v>
      </c>
      <c r="D83" t="s">
        <v>8</v>
      </c>
      <c r="E83">
        <v>72.69</v>
      </c>
      <c r="F83" t="s">
        <v>45</v>
      </c>
      <c r="G83">
        <v>23.42</v>
      </c>
      <c r="H83">
        <v>15.93</v>
      </c>
      <c r="I83" t="b">
        <v>0</v>
      </c>
    </row>
    <row r="84" spans="1:9" x14ac:dyDescent="0.25">
      <c r="A84" t="s">
        <v>57</v>
      </c>
      <c r="B84" t="s">
        <v>7</v>
      </c>
      <c r="C84" t="s">
        <v>3</v>
      </c>
      <c r="D84" t="s">
        <v>18</v>
      </c>
      <c r="E84">
        <v>73.23</v>
      </c>
      <c r="F84" t="s">
        <v>7</v>
      </c>
      <c r="G84">
        <v>20.53</v>
      </c>
      <c r="H84">
        <v>28.8</v>
      </c>
      <c r="I84" t="b">
        <v>0</v>
      </c>
    </row>
    <row r="85" spans="1:9" x14ac:dyDescent="0.25">
      <c r="A85" t="s">
        <v>57</v>
      </c>
      <c r="B85" t="s">
        <v>91</v>
      </c>
      <c r="C85" t="s">
        <v>3</v>
      </c>
      <c r="D85" t="s">
        <v>56</v>
      </c>
      <c r="E85">
        <v>73.239999999999995</v>
      </c>
      <c r="F85" t="s">
        <v>16</v>
      </c>
      <c r="G85">
        <v>8.09</v>
      </c>
      <c r="H85">
        <v>25.93</v>
      </c>
      <c r="I85" t="b">
        <v>0</v>
      </c>
    </row>
    <row r="86" spans="1:9" x14ac:dyDescent="0.25">
      <c r="A86" t="s">
        <v>58</v>
      </c>
      <c r="B86" t="s">
        <v>45</v>
      </c>
      <c r="C86" t="s">
        <v>3</v>
      </c>
      <c r="D86" t="s">
        <v>45</v>
      </c>
      <c r="E86">
        <v>73.59</v>
      </c>
      <c r="F86" t="s">
        <v>18</v>
      </c>
      <c r="G86">
        <v>19.690000000000001</v>
      </c>
      <c r="H86">
        <v>26.32</v>
      </c>
      <c r="I86" t="b">
        <v>1</v>
      </c>
    </row>
    <row r="87" spans="1:9" x14ac:dyDescent="0.25">
      <c r="A87" t="s">
        <v>58</v>
      </c>
      <c r="B87" t="s">
        <v>7</v>
      </c>
      <c r="C87" t="s">
        <v>3</v>
      </c>
      <c r="D87" t="s">
        <v>7</v>
      </c>
      <c r="E87">
        <v>73.62</v>
      </c>
      <c r="F87" t="s">
        <v>26</v>
      </c>
      <c r="G87">
        <v>15.03</v>
      </c>
      <c r="H87">
        <v>37.92</v>
      </c>
      <c r="I87" t="b">
        <v>1</v>
      </c>
    </row>
    <row r="88" spans="1:9" x14ac:dyDescent="0.25">
      <c r="A88" t="s">
        <v>59</v>
      </c>
      <c r="B88" t="s">
        <v>55</v>
      </c>
      <c r="C88" t="s">
        <v>3</v>
      </c>
      <c r="D88" t="s">
        <v>55</v>
      </c>
      <c r="E88">
        <v>73.97</v>
      </c>
      <c r="F88" t="s">
        <v>68</v>
      </c>
      <c r="G88">
        <v>25.64</v>
      </c>
      <c r="H88">
        <v>28.7</v>
      </c>
      <c r="I88" t="b">
        <v>1</v>
      </c>
    </row>
    <row r="89" spans="1:9" x14ac:dyDescent="0.25">
      <c r="A89" t="s">
        <v>59</v>
      </c>
      <c r="B89" t="s">
        <v>77</v>
      </c>
      <c r="C89" t="s">
        <v>3</v>
      </c>
      <c r="D89" t="s">
        <v>77</v>
      </c>
      <c r="E89">
        <v>74.680000000000007</v>
      </c>
      <c r="F89" t="s">
        <v>55</v>
      </c>
      <c r="G89">
        <v>24.86</v>
      </c>
      <c r="H89">
        <v>29.2</v>
      </c>
      <c r="I89" t="b">
        <v>1</v>
      </c>
    </row>
    <row r="90" spans="1:9" x14ac:dyDescent="0.25">
      <c r="A90" t="s">
        <v>60</v>
      </c>
      <c r="B90" t="s">
        <v>91</v>
      </c>
      <c r="C90" t="s">
        <v>5</v>
      </c>
      <c r="D90" t="s">
        <v>56</v>
      </c>
      <c r="E90">
        <v>74.75</v>
      </c>
      <c r="F90" t="s">
        <v>77</v>
      </c>
      <c r="G90">
        <v>25.16</v>
      </c>
      <c r="H90">
        <v>14.84</v>
      </c>
      <c r="I90" t="b">
        <v>0</v>
      </c>
    </row>
    <row r="91" spans="1:9" x14ac:dyDescent="0.25">
      <c r="A91" t="s">
        <v>60</v>
      </c>
      <c r="B91" t="s">
        <v>12</v>
      </c>
      <c r="C91" t="s">
        <v>5</v>
      </c>
      <c r="D91" t="s">
        <v>7</v>
      </c>
      <c r="E91">
        <v>74.91</v>
      </c>
      <c r="F91" t="s">
        <v>12</v>
      </c>
      <c r="G91">
        <v>18.190000000000001</v>
      </c>
      <c r="H91">
        <v>18.850000000000001</v>
      </c>
      <c r="I91" t="b">
        <v>0</v>
      </c>
    </row>
    <row r="92" spans="1:9" x14ac:dyDescent="0.25">
      <c r="A92" t="s">
        <v>61</v>
      </c>
      <c r="B92" t="s">
        <v>68</v>
      </c>
      <c r="C92" t="s">
        <v>5</v>
      </c>
      <c r="D92" t="s">
        <v>56</v>
      </c>
      <c r="E92">
        <v>74.98</v>
      </c>
      <c r="F92" t="s">
        <v>68</v>
      </c>
      <c r="G92">
        <v>11.62</v>
      </c>
      <c r="H92">
        <v>15.59</v>
      </c>
      <c r="I92" t="b">
        <v>0</v>
      </c>
    </row>
    <row r="93" spans="1:9" x14ac:dyDescent="0.25">
      <c r="A93" t="s">
        <v>61</v>
      </c>
      <c r="B93" t="s">
        <v>16</v>
      </c>
      <c r="C93" t="s">
        <v>5</v>
      </c>
      <c r="D93" t="s">
        <v>16</v>
      </c>
      <c r="E93">
        <v>75.040000000000006</v>
      </c>
      <c r="F93" t="s">
        <v>55</v>
      </c>
      <c r="G93">
        <v>24.93</v>
      </c>
      <c r="H93">
        <v>15.2</v>
      </c>
      <c r="I93" t="b">
        <v>1</v>
      </c>
    </row>
    <row r="94" spans="1:9" x14ac:dyDescent="0.25">
      <c r="A94" t="s">
        <v>62</v>
      </c>
      <c r="B94" t="s">
        <v>26</v>
      </c>
      <c r="C94" t="s">
        <v>3</v>
      </c>
      <c r="D94" t="s">
        <v>26</v>
      </c>
      <c r="E94">
        <v>75.14</v>
      </c>
      <c r="F94" t="s">
        <v>18</v>
      </c>
      <c r="G94">
        <v>21.67</v>
      </c>
      <c r="H94">
        <v>31.58</v>
      </c>
      <c r="I94" t="b">
        <v>1</v>
      </c>
    </row>
    <row r="95" spans="1:9" x14ac:dyDescent="0.25">
      <c r="A95" t="s">
        <v>62</v>
      </c>
      <c r="B95" t="s">
        <v>4</v>
      </c>
      <c r="C95" t="s">
        <v>5</v>
      </c>
      <c r="D95" t="s">
        <v>4</v>
      </c>
      <c r="E95">
        <v>75.180000000000007</v>
      </c>
      <c r="F95" t="s">
        <v>2</v>
      </c>
      <c r="G95">
        <v>24.82</v>
      </c>
      <c r="H95">
        <v>17.13</v>
      </c>
      <c r="I95" t="b">
        <v>1</v>
      </c>
    </row>
    <row r="96" spans="1:9" x14ac:dyDescent="0.25">
      <c r="A96" t="s">
        <v>63</v>
      </c>
      <c r="B96" t="s">
        <v>68</v>
      </c>
      <c r="C96" t="s">
        <v>5</v>
      </c>
      <c r="D96" t="s">
        <v>18</v>
      </c>
      <c r="E96">
        <v>76.489999999999995</v>
      </c>
      <c r="F96" t="s">
        <v>7</v>
      </c>
      <c r="G96">
        <v>14.36</v>
      </c>
      <c r="H96">
        <v>16.77</v>
      </c>
      <c r="I96" t="b">
        <v>0</v>
      </c>
    </row>
    <row r="97" spans="1:9" x14ac:dyDescent="0.25">
      <c r="A97" t="s">
        <v>63</v>
      </c>
      <c r="B97" t="s">
        <v>13</v>
      </c>
      <c r="C97" t="s">
        <v>5</v>
      </c>
      <c r="D97" t="s">
        <v>21</v>
      </c>
      <c r="E97">
        <v>76.569999999999993</v>
      </c>
      <c r="F97" t="s">
        <v>56</v>
      </c>
      <c r="G97">
        <v>23.42</v>
      </c>
      <c r="H97">
        <v>15.87</v>
      </c>
      <c r="I97" t="b">
        <v>0</v>
      </c>
    </row>
    <row r="98" spans="1:9" x14ac:dyDescent="0.25">
      <c r="A98" t="s">
        <v>64</v>
      </c>
      <c r="B98" t="s">
        <v>77</v>
      </c>
      <c r="C98" t="s">
        <v>5</v>
      </c>
      <c r="D98" t="s">
        <v>55</v>
      </c>
      <c r="E98">
        <v>76.91</v>
      </c>
      <c r="F98" t="s">
        <v>77</v>
      </c>
      <c r="G98">
        <v>23.08</v>
      </c>
      <c r="H98">
        <v>15.52</v>
      </c>
      <c r="I98" t="b">
        <v>0</v>
      </c>
    </row>
    <row r="99" spans="1:9" x14ac:dyDescent="0.25">
      <c r="A99" t="s">
        <v>64</v>
      </c>
      <c r="B99" t="s">
        <v>13</v>
      </c>
      <c r="C99" t="s">
        <v>3</v>
      </c>
      <c r="D99" t="s">
        <v>13</v>
      </c>
      <c r="E99">
        <v>76.94</v>
      </c>
      <c r="F99" t="s">
        <v>21</v>
      </c>
      <c r="G99">
        <v>23.05</v>
      </c>
      <c r="H99">
        <v>26.72</v>
      </c>
      <c r="I99" t="b">
        <v>1</v>
      </c>
    </row>
    <row r="100" spans="1:9" x14ac:dyDescent="0.25">
      <c r="A100" t="s">
        <v>65</v>
      </c>
      <c r="B100" t="s">
        <v>45</v>
      </c>
      <c r="C100" t="s">
        <v>5</v>
      </c>
      <c r="D100" t="s">
        <v>26</v>
      </c>
      <c r="E100">
        <v>76.95</v>
      </c>
      <c r="F100" t="s">
        <v>8</v>
      </c>
      <c r="G100">
        <v>13.84</v>
      </c>
      <c r="H100">
        <v>15.86</v>
      </c>
      <c r="I100" t="b">
        <v>0</v>
      </c>
    </row>
    <row r="101" spans="1:9" x14ac:dyDescent="0.25">
      <c r="A101" t="s">
        <v>65</v>
      </c>
      <c r="B101" t="s">
        <v>4</v>
      </c>
      <c r="C101" t="s">
        <v>3</v>
      </c>
      <c r="D101" t="s">
        <v>4</v>
      </c>
      <c r="E101">
        <v>77.03</v>
      </c>
      <c r="F101" t="s">
        <v>2</v>
      </c>
      <c r="G101">
        <v>16.010000000000002</v>
      </c>
      <c r="H101">
        <v>35.82</v>
      </c>
      <c r="I101" t="b">
        <v>1</v>
      </c>
    </row>
    <row r="102" spans="1:9" x14ac:dyDescent="0.25">
      <c r="A102" t="s">
        <v>66</v>
      </c>
      <c r="B102" t="s">
        <v>91</v>
      </c>
      <c r="C102" t="s">
        <v>3</v>
      </c>
      <c r="D102" t="s">
        <v>91</v>
      </c>
      <c r="E102">
        <v>78.209999999999994</v>
      </c>
      <c r="F102" t="s">
        <v>56</v>
      </c>
      <c r="G102">
        <v>20.85</v>
      </c>
      <c r="H102">
        <v>29.75</v>
      </c>
      <c r="I102" t="b">
        <v>1</v>
      </c>
    </row>
    <row r="103" spans="1:9" x14ac:dyDescent="0.25">
      <c r="A103" t="s">
        <v>66</v>
      </c>
      <c r="B103" t="s">
        <v>4</v>
      </c>
      <c r="C103" t="s">
        <v>5</v>
      </c>
      <c r="D103" t="s">
        <v>4</v>
      </c>
      <c r="E103">
        <v>78.36</v>
      </c>
      <c r="F103" t="s">
        <v>2</v>
      </c>
      <c r="G103">
        <v>20.77</v>
      </c>
      <c r="H103">
        <v>16.18</v>
      </c>
      <c r="I103" t="b">
        <v>1</v>
      </c>
    </row>
    <row r="104" spans="1:9" x14ac:dyDescent="0.25">
      <c r="A104" t="s">
        <v>67</v>
      </c>
      <c r="B104" t="s">
        <v>12</v>
      </c>
      <c r="C104" t="s">
        <v>3</v>
      </c>
      <c r="D104" t="s">
        <v>18</v>
      </c>
      <c r="E104">
        <v>78.81</v>
      </c>
      <c r="F104" t="s">
        <v>12</v>
      </c>
      <c r="G104">
        <v>21.18</v>
      </c>
      <c r="H104">
        <v>28.55</v>
      </c>
      <c r="I104" t="b">
        <v>0</v>
      </c>
    </row>
    <row r="105" spans="1:9" x14ac:dyDescent="0.25">
      <c r="A105" t="s">
        <v>67</v>
      </c>
      <c r="B105" t="s">
        <v>77</v>
      </c>
      <c r="C105" t="s">
        <v>5</v>
      </c>
      <c r="D105" t="s">
        <v>55</v>
      </c>
      <c r="E105">
        <v>80.12</v>
      </c>
      <c r="F105" t="s">
        <v>16</v>
      </c>
      <c r="G105">
        <v>14.94</v>
      </c>
      <c r="H105">
        <v>15.61</v>
      </c>
      <c r="I105" t="b">
        <v>0</v>
      </c>
    </row>
    <row r="106" spans="1:9" x14ac:dyDescent="0.25">
      <c r="A106" t="s">
        <v>69</v>
      </c>
      <c r="B106" t="s">
        <v>8</v>
      </c>
      <c r="C106" t="s">
        <v>3</v>
      </c>
      <c r="D106" t="s">
        <v>8</v>
      </c>
      <c r="E106">
        <v>80.22</v>
      </c>
      <c r="F106" t="s">
        <v>13</v>
      </c>
      <c r="G106">
        <v>12.9</v>
      </c>
      <c r="H106">
        <v>27.96</v>
      </c>
      <c r="I106" t="b">
        <v>1</v>
      </c>
    </row>
    <row r="107" spans="1:9" x14ac:dyDescent="0.25">
      <c r="A107" t="s">
        <v>69</v>
      </c>
      <c r="B107" t="s">
        <v>35</v>
      </c>
      <c r="C107" t="s">
        <v>5</v>
      </c>
      <c r="D107" t="s">
        <v>35</v>
      </c>
      <c r="E107">
        <v>81.209999999999994</v>
      </c>
      <c r="F107" t="s">
        <v>39</v>
      </c>
      <c r="G107">
        <v>13.98</v>
      </c>
      <c r="H107">
        <v>23.45</v>
      </c>
      <c r="I107" t="b">
        <v>1</v>
      </c>
    </row>
    <row r="108" spans="1:9" x14ac:dyDescent="0.25">
      <c r="A108" t="s">
        <v>70</v>
      </c>
      <c r="B108" t="s">
        <v>8</v>
      </c>
      <c r="C108" t="s">
        <v>3</v>
      </c>
      <c r="D108" t="s">
        <v>8</v>
      </c>
      <c r="E108">
        <v>81.239999999999995</v>
      </c>
      <c r="F108" t="s">
        <v>13</v>
      </c>
      <c r="G108">
        <v>14.38</v>
      </c>
      <c r="H108">
        <v>27.73</v>
      </c>
      <c r="I108" t="b">
        <v>1</v>
      </c>
    </row>
    <row r="109" spans="1:9" x14ac:dyDescent="0.25">
      <c r="A109" t="s">
        <v>70</v>
      </c>
      <c r="B109" t="s">
        <v>55</v>
      </c>
      <c r="C109" t="s">
        <v>3</v>
      </c>
      <c r="D109" t="s">
        <v>68</v>
      </c>
      <c r="E109">
        <v>81.34</v>
      </c>
      <c r="F109" t="s">
        <v>55</v>
      </c>
      <c r="G109">
        <v>9.68</v>
      </c>
      <c r="H109">
        <v>29.59</v>
      </c>
      <c r="I109" t="b">
        <v>0</v>
      </c>
    </row>
    <row r="110" spans="1:9" x14ac:dyDescent="0.25">
      <c r="A110" t="s">
        <v>71</v>
      </c>
      <c r="B110" t="s">
        <v>35</v>
      </c>
      <c r="C110" t="s">
        <v>3</v>
      </c>
      <c r="D110" t="s">
        <v>16</v>
      </c>
      <c r="E110">
        <v>81.349999999999994</v>
      </c>
      <c r="F110" t="s">
        <v>35</v>
      </c>
      <c r="G110">
        <v>15.85</v>
      </c>
      <c r="H110">
        <v>38.409999999999997</v>
      </c>
      <c r="I110" t="b">
        <v>0</v>
      </c>
    </row>
    <row r="111" spans="1:9" x14ac:dyDescent="0.25">
      <c r="A111" t="s">
        <v>71</v>
      </c>
      <c r="B111" t="s">
        <v>56</v>
      </c>
      <c r="C111" t="s">
        <v>5</v>
      </c>
      <c r="D111" t="s">
        <v>13</v>
      </c>
      <c r="E111">
        <v>81.739999999999995</v>
      </c>
      <c r="F111" t="s">
        <v>21</v>
      </c>
      <c r="G111">
        <v>12.69</v>
      </c>
      <c r="H111">
        <v>15.43</v>
      </c>
      <c r="I111" t="b">
        <v>0</v>
      </c>
    </row>
    <row r="112" spans="1:9" x14ac:dyDescent="0.25">
      <c r="A112" t="s">
        <v>72</v>
      </c>
      <c r="B112" t="s">
        <v>55</v>
      </c>
      <c r="C112" t="s">
        <v>3</v>
      </c>
      <c r="D112" t="s">
        <v>77</v>
      </c>
      <c r="E112">
        <v>83.35</v>
      </c>
      <c r="F112" t="s">
        <v>55</v>
      </c>
      <c r="G112">
        <v>15.63</v>
      </c>
      <c r="H112">
        <v>30.55</v>
      </c>
      <c r="I112" t="b">
        <v>0</v>
      </c>
    </row>
    <row r="113" spans="1:9" x14ac:dyDescent="0.25">
      <c r="A113" t="s">
        <v>72</v>
      </c>
      <c r="B113" t="s">
        <v>77</v>
      </c>
      <c r="C113" t="s">
        <v>3</v>
      </c>
      <c r="D113" t="s">
        <v>55</v>
      </c>
      <c r="E113">
        <v>83.51</v>
      </c>
      <c r="F113" t="s">
        <v>77</v>
      </c>
      <c r="G113">
        <v>16.440000000000001</v>
      </c>
      <c r="H113">
        <v>26.82</v>
      </c>
      <c r="I113" t="b">
        <v>0</v>
      </c>
    </row>
    <row r="114" spans="1:9" x14ac:dyDescent="0.25">
      <c r="A114" t="s">
        <v>73</v>
      </c>
      <c r="B114" t="s">
        <v>7</v>
      </c>
      <c r="C114" t="s">
        <v>5</v>
      </c>
      <c r="D114" t="s">
        <v>18</v>
      </c>
      <c r="E114">
        <v>83.68</v>
      </c>
      <c r="F114" t="s">
        <v>7</v>
      </c>
      <c r="G114">
        <v>12.17</v>
      </c>
      <c r="H114">
        <v>17.920000000000002</v>
      </c>
      <c r="I114" t="b">
        <v>0</v>
      </c>
    </row>
    <row r="115" spans="1:9" x14ac:dyDescent="0.25">
      <c r="A115" t="s">
        <v>73</v>
      </c>
      <c r="B115" t="s">
        <v>7</v>
      </c>
      <c r="C115" t="s">
        <v>3</v>
      </c>
      <c r="D115" t="s">
        <v>18</v>
      </c>
      <c r="E115">
        <v>83.84</v>
      </c>
      <c r="F115" t="s">
        <v>7</v>
      </c>
      <c r="G115">
        <v>8.49</v>
      </c>
      <c r="H115">
        <v>36.97</v>
      </c>
      <c r="I115" t="b">
        <v>0</v>
      </c>
    </row>
    <row r="116" spans="1:9" x14ac:dyDescent="0.25">
      <c r="A116" t="s">
        <v>74</v>
      </c>
      <c r="B116" t="s">
        <v>77</v>
      </c>
      <c r="C116" t="s">
        <v>3</v>
      </c>
      <c r="D116" t="s">
        <v>77</v>
      </c>
      <c r="E116">
        <v>84.13</v>
      </c>
      <c r="F116" t="s">
        <v>55</v>
      </c>
      <c r="G116">
        <v>15.42</v>
      </c>
      <c r="H116">
        <v>30.09</v>
      </c>
      <c r="I116" t="b">
        <v>1</v>
      </c>
    </row>
    <row r="117" spans="1:9" x14ac:dyDescent="0.25">
      <c r="A117" t="s">
        <v>74</v>
      </c>
      <c r="B117" t="s">
        <v>45</v>
      </c>
      <c r="C117" t="s">
        <v>5</v>
      </c>
      <c r="D117" t="s">
        <v>45</v>
      </c>
      <c r="E117">
        <v>84.23</v>
      </c>
      <c r="F117" t="s">
        <v>12</v>
      </c>
      <c r="G117">
        <v>8.42</v>
      </c>
      <c r="H117">
        <v>18.25</v>
      </c>
      <c r="I117" t="b">
        <v>1</v>
      </c>
    </row>
    <row r="118" spans="1:9" x14ac:dyDescent="0.25">
      <c r="A118" t="s">
        <v>75</v>
      </c>
      <c r="B118" t="s">
        <v>39</v>
      </c>
      <c r="C118" t="s">
        <v>5</v>
      </c>
      <c r="D118" t="s">
        <v>39</v>
      </c>
      <c r="E118">
        <v>84.48</v>
      </c>
      <c r="F118" t="s">
        <v>7</v>
      </c>
      <c r="G118">
        <v>14.22</v>
      </c>
      <c r="H118">
        <v>16.11</v>
      </c>
      <c r="I118" t="b">
        <v>1</v>
      </c>
    </row>
    <row r="119" spans="1:9" x14ac:dyDescent="0.25">
      <c r="A119" t="s">
        <v>75</v>
      </c>
      <c r="B119" t="s">
        <v>35</v>
      </c>
      <c r="C119" t="s">
        <v>3</v>
      </c>
      <c r="D119" t="s">
        <v>39</v>
      </c>
      <c r="E119">
        <v>84.75</v>
      </c>
      <c r="F119" t="s">
        <v>35</v>
      </c>
      <c r="G119">
        <v>14.07</v>
      </c>
      <c r="H119">
        <v>30.63</v>
      </c>
      <c r="I119" t="b">
        <v>0</v>
      </c>
    </row>
    <row r="120" spans="1:9" x14ac:dyDescent="0.25">
      <c r="A120" t="s">
        <v>76</v>
      </c>
      <c r="B120" t="s">
        <v>18</v>
      </c>
      <c r="C120" t="s">
        <v>3</v>
      </c>
      <c r="D120" t="s">
        <v>35</v>
      </c>
      <c r="E120">
        <v>84.8</v>
      </c>
      <c r="F120" t="s">
        <v>26</v>
      </c>
      <c r="G120">
        <v>14.96</v>
      </c>
      <c r="H120">
        <v>32.22</v>
      </c>
      <c r="I120" t="b">
        <v>0</v>
      </c>
    </row>
    <row r="121" spans="1:9" x14ac:dyDescent="0.25">
      <c r="A121" t="s">
        <v>76</v>
      </c>
      <c r="B121" t="s">
        <v>18</v>
      </c>
      <c r="C121" t="s">
        <v>5</v>
      </c>
      <c r="D121" t="s">
        <v>18</v>
      </c>
      <c r="E121">
        <v>85.33</v>
      </c>
      <c r="F121" t="s">
        <v>8</v>
      </c>
      <c r="G121">
        <v>7.56</v>
      </c>
      <c r="H121">
        <v>15.37</v>
      </c>
      <c r="I121" t="b">
        <v>1</v>
      </c>
    </row>
    <row r="122" spans="1:9" x14ac:dyDescent="0.25">
      <c r="A122" t="s">
        <v>78</v>
      </c>
      <c r="B122" t="s">
        <v>68</v>
      </c>
      <c r="C122" t="s">
        <v>3</v>
      </c>
      <c r="D122" t="s">
        <v>13</v>
      </c>
      <c r="E122">
        <v>86.1</v>
      </c>
      <c r="F122" t="s">
        <v>21</v>
      </c>
      <c r="G122">
        <v>12.69</v>
      </c>
      <c r="H122">
        <v>32</v>
      </c>
      <c r="I122" t="b">
        <v>0</v>
      </c>
    </row>
    <row r="123" spans="1:9" x14ac:dyDescent="0.25">
      <c r="A123" t="s">
        <v>78</v>
      </c>
      <c r="B123" t="s">
        <v>7</v>
      </c>
      <c r="C123" t="s">
        <v>5</v>
      </c>
      <c r="D123" t="s">
        <v>7</v>
      </c>
      <c r="E123">
        <v>86.28</v>
      </c>
      <c r="F123" t="s">
        <v>18</v>
      </c>
      <c r="G123">
        <v>11.23</v>
      </c>
      <c r="H123">
        <v>18.13</v>
      </c>
      <c r="I123" t="b">
        <v>1</v>
      </c>
    </row>
    <row r="124" spans="1:9" x14ac:dyDescent="0.25">
      <c r="A124" t="s">
        <v>79</v>
      </c>
      <c r="B124" t="s">
        <v>39</v>
      </c>
      <c r="C124" t="s">
        <v>5</v>
      </c>
      <c r="D124" t="s">
        <v>39</v>
      </c>
      <c r="E124">
        <v>86.49</v>
      </c>
      <c r="F124" t="s">
        <v>35</v>
      </c>
      <c r="G124">
        <v>13.5</v>
      </c>
      <c r="H124">
        <v>14.98</v>
      </c>
      <c r="I124" t="b">
        <v>1</v>
      </c>
    </row>
    <row r="125" spans="1:9" x14ac:dyDescent="0.25">
      <c r="A125" t="s">
        <v>79</v>
      </c>
      <c r="B125" t="s">
        <v>56</v>
      </c>
      <c r="C125" t="s">
        <v>3</v>
      </c>
      <c r="D125" t="s">
        <v>18</v>
      </c>
      <c r="E125">
        <v>86.53</v>
      </c>
      <c r="F125" t="s">
        <v>56</v>
      </c>
      <c r="G125">
        <v>8.09</v>
      </c>
      <c r="H125">
        <v>26.52</v>
      </c>
      <c r="I125" t="b">
        <v>0</v>
      </c>
    </row>
    <row r="126" spans="1:9" x14ac:dyDescent="0.25">
      <c r="A126" t="s">
        <v>80</v>
      </c>
      <c r="B126" t="s">
        <v>91</v>
      </c>
      <c r="C126" t="s">
        <v>5</v>
      </c>
      <c r="D126" t="s">
        <v>77</v>
      </c>
      <c r="E126">
        <v>86.9</v>
      </c>
      <c r="F126" t="s">
        <v>91</v>
      </c>
      <c r="G126">
        <v>9.0399999999999991</v>
      </c>
      <c r="H126">
        <v>17.559999999999999</v>
      </c>
      <c r="I126" t="b">
        <v>0</v>
      </c>
    </row>
    <row r="127" spans="1:9" x14ac:dyDescent="0.25">
      <c r="A127" t="s">
        <v>80</v>
      </c>
      <c r="B127" t="s">
        <v>4</v>
      </c>
      <c r="C127" t="s">
        <v>3</v>
      </c>
      <c r="D127" t="s">
        <v>4</v>
      </c>
      <c r="E127">
        <v>87.1</v>
      </c>
      <c r="F127" t="s">
        <v>2</v>
      </c>
      <c r="G127">
        <v>9.9</v>
      </c>
      <c r="H127">
        <v>26.63</v>
      </c>
      <c r="I127" t="b">
        <v>1</v>
      </c>
    </row>
    <row r="128" spans="1:9" x14ac:dyDescent="0.25">
      <c r="A128" t="s">
        <v>14</v>
      </c>
      <c r="B128" t="s">
        <v>91</v>
      </c>
      <c r="C128" t="s">
        <v>3</v>
      </c>
      <c r="D128" t="s">
        <v>56</v>
      </c>
      <c r="E128">
        <v>87.26</v>
      </c>
      <c r="F128" t="s">
        <v>55</v>
      </c>
      <c r="G128">
        <v>5.28</v>
      </c>
      <c r="H128">
        <v>31.28</v>
      </c>
      <c r="I128" t="b">
        <v>0</v>
      </c>
    </row>
    <row r="129" spans="1:9" x14ac:dyDescent="0.25">
      <c r="A129" t="s">
        <v>14</v>
      </c>
      <c r="B129" t="s">
        <v>55</v>
      </c>
      <c r="C129" t="s">
        <v>3</v>
      </c>
      <c r="D129" t="s">
        <v>55</v>
      </c>
      <c r="E129">
        <v>87.47</v>
      </c>
      <c r="F129" t="s">
        <v>16</v>
      </c>
      <c r="G129">
        <v>12.44</v>
      </c>
      <c r="H129">
        <v>34.57</v>
      </c>
      <c r="I129" t="b">
        <v>1</v>
      </c>
    </row>
    <row r="130" spans="1:9" x14ac:dyDescent="0.25">
      <c r="A130" t="s">
        <v>81</v>
      </c>
      <c r="B130" t="s">
        <v>16</v>
      </c>
      <c r="C130" t="s">
        <v>5</v>
      </c>
      <c r="D130" t="s">
        <v>77</v>
      </c>
      <c r="E130">
        <v>87.57</v>
      </c>
      <c r="F130" t="s">
        <v>16</v>
      </c>
      <c r="G130">
        <v>8.49</v>
      </c>
      <c r="H130">
        <v>18.309999999999999</v>
      </c>
      <c r="I130" t="b">
        <v>0</v>
      </c>
    </row>
    <row r="131" spans="1:9" x14ac:dyDescent="0.25">
      <c r="A131" t="s">
        <v>81</v>
      </c>
      <c r="B131" t="s">
        <v>56</v>
      </c>
      <c r="C131" t="s">
        <v>3</v>
      </c>
      <c r="D131" t="s">
        <v>56</v>
      </c>
      <c r="E131">
        <v>87.97</v>
      </c>
      <c r="F131" t="s">
        <v>21</v>
      </c>
      <c r="G131">
        <v>8.19</v>
      </c>
      <c r="H131">
        <v>28.2</v>
      </c>
      <c r="I131" t="b">
        <v>1</v>
      </c>
    </row>
    <row r="132" spans="1:9" x14ac:dyDescent="0.25">
      <c r="A132" t="s">
        <v>82</v>
      </c>
      <c r="B132" t="s">
        <v>12</v>
      </c>
      <c r="C132" t="s">
        <v>3</v>
      </c>
      <c r="D132" t="s">
        <v>12</v>
      </c>
      <c r="E132">
        <v>88.09</v>
      </c>
      <c r="F132" t="s">
        <v>18</v>
      </c>
      <c r="G132">
        <v>10.68</v>
      </c>
      <c r="H132">
        <v>27.11</v>
      </c>
      <c r="I132" t="b">
        <v>1</v>
      </c>
    </row>
    <row r="133" spans="1:9" x14ac:dyDescent="0.25">
      <c r="A133" t="s">
        <v>82</v>
      </c>
      <c r="B133" t="s">
        <v>39</v>
      </c>
      <c r="C133" t="s">
        <v>5</v>
      </c>
      <c r="D133" t="s">
        <v>18</v>
      </c>
      <c r="E133">
        <v>88.21</v>
      </c>
      <c r="F133" t="s">
        <v>39</v>
      </c>
      <c r="G133">
        <v>11.23</v>
      </c>
      <c r="H133">
        <v>15.42</v>
      </c>
      <c r="I133" t="b">
        <v>0</v>
      </c>
    </row>
    <row r="134" spans="1:9" x14ac:dyDescent="0.25">
      <c r="A134" t="s">
        <v>83</v>
      </c>
      <c r="B134" t="s">
        <v>2</v>
      </c>
      <c r="C134" t="s">
        <v>5</v>
      </c>
      <c r="D134" t="s">
        <v>2</v>
      </c>
      <c r="E134">
        <v>88.42</v>
      </c>
      <c r="F134" t="s">
        <v>4</v>
      </c>
      <c r="G134">
        <v>11.58</v>
      </c>
      <c r="H134">
        <v>25.19</v>
      </c>
      <c r="I134" t="b">
        <v>1</v>
      </c>
    </row>
    <row r="135" spans="1:9" x14ac:dyDescent="0.25">
      <c r="A135" t="s">
        <v>83</v>
      </c>
      <c r="B135" t="s">
        <v>7</v>
      </c>
      <c r="C135" t="s">
        <v>5</v>
      </c>
      <c r="D135" t="s">
        <v>8</v>
      </c>
      <c r="E135">
        <v>88.54</v>
      </c>
      <c r="F135" t="s">
        <v>7</v>
      </c>
      <c r="G135">
        <v>9.5500000000000007</v>
      </c>
      <c r="H135">
        <v>18.989999999999998</v>
      </c>
      <c r="I135" t="b">
        <v>0</v>
      </c>
    </row>
    <row r="136" spans="1:9" x14ac:dyDescent="0.25">
      <c r="A136" t="s">
        <v>84</v>
      </c>
      <c r="B136" t="s">
        <v>4</v>
      </c>
      <c r="C136" t="s">
        <v>5</v>
      </c>
      <c r="D136" t="s">
        <v>2</v>
      </c>
      <c r="E136">
        <v>88.71</v>
      </c>
      <c r="F136" t="s">
        <v>8</v>
      </c>
      <c r="G136">
        <v>8.5299999999999994</v>
      </c>
      <c r="H136">
        <v>18.7</v>
      </c>
      <c r="I136" t="b">
        <v>0</v>
      </c>
    </row>
    <row r="137" spans="1:9" x14ac:dyDescent="0.25">
      <c r="A137" t="s">
        <v>84</v>
      </c>
      <c r="B137" t="s">
        <v>56</v>
      </c>
      <c r="C137" t="s">
        <v>3</v>
      </c>
      <c r="D137" t="s">
        <v>56</v>
      </c>
      <c r="E137">
        <v>88.79</v>
      </c>
      <c r="F137" t="s">
        <v>13</v>
      </c>
      <c r="G137">
        <v>7.01</v>
      </c>
      <c r="H137">
        <v>26.39</v>
      </c>
      <c r="I137" t="b">
        <v>1</v>
      </c>
    </row>
    <row r="138" spans="1:9" x14ac:dyDescent="0.25">
      <c r="A138" t="s">
        <v>85</v>
      </c>
      <c r="B138" t="s">
        <v>18</v>
      </c>
      <c r="C138" t="s">
        <v>5</v>
      </c>
      <c r="D138" t="s">
        <v>18</v>
      </c>
      <c r="E138">
        <v>88.94</v>
      </c>
      <c r="F138" t="s">
        <v>7</v>
      </c>
      <c r="G138">
        <v>8.91</v>
      </c>
      <c r="H138">
        <v>16.989999999999998</v>
      </c>
      <c r="I138" t="b">
        <v>1</v>
      </c>
    </row>
    <row r="139" spans="1:9" x14ac:dyDescent="0.25">
      <c r="A139" t="s">
        <v>85</v>
      </c>
      <c r="B139" t="s">
        <v>26</v>
      </c>
      <c r="C139" t="s">
        <v>3</v>
      </c>
      <c r="D139" t="s">
        <v>18</v>
      </c>
      <c r="E139">
        <v>89.34</v>
      </c>
      <c r="F139" t="s">
        <v>8</v>
      </c>
      <c r="G139">
        <v>6.97</v>
      </c>
      <c r="H139">
        <v>31.61</v>
      </c>
      <c r="I139" t="b">
        <v>0</v>
      </c>
    </row>
    <row r="140" spans="1:9" x14ac:dyDescent="0.25">
      <c r="A140" t="s">
        <v>86</v>
      </c>
      <c r="B140" t="s">
        <v>7</v>
      </c>
      <c r="C140" t="s">
        <v>3</v>
      </c>
      <c r="D140" t="s">
        <v>18</v>
      </c>
      <c r="E140">
        <v>89.45</v>
      </c>
      <c r="F140" t="s">
        <v>7</v>
      </c>
      <c r="G140">
        <v>9.99</v>
      </c>
      <c r="H140">
        <v>30.65</v>
      </c>
      <c r="I140" t="b">
        <v>0</v>
      </c>
    </row>
    <row r="141" spans="1:9" x14ac:dyDescent="0.25">
      <c r="A141" t="s">
        <v>86</v>
      </c>
      <c r="B141" t="s">
        <v>21</v>
      </c>
      <c r="C141" t="s">
        <v>5</v>
      </c>
      <c r="D141" t="s">
        <v>21</v>
      </c>
      <c r="E141">
        <v>89.99</v>
      </c>
      <c r="F141" t="s">
        <v>55</v>
      </c>
      <c r="G141">
        <v>4.76</v>
      </c>
      <c r="H141">
        <v>15.58</v>
      </c>
      <c r="I141" t="b">
        <v>1</v>
      </c>
    </row>
    <row r="142" spans="1:9" x14ac:dyDescent="0.25">
      <c r="A142" t="s">
        <v>87</v>
      </c>
      <c r="B142" t="s">
        <v>26</v>
      </c>
      <c r="C142" t="s">
        <v>3</v>
      </c>
      <c r="D142" t="s">
        <v>26</v>
      </c>
      <c r="E142">
        <v>90.48</v>
      </c>
      <c r="F142" t="s">
        <v>18</v>
      </c>
      <c r="G142">
        <v>7</v>
      </c>
      <c r="H142">
        <v>27.15</v>
      </c>
      <c r="I142" t="b">
        <v>1</v>
      </c>
    </row>
    <row r="143" spans="1:9" x14ac:dyDescent="0.25">
      <c r="A143" t="s">
        <v>87</v>
      </c>
      <c r="B143" t="s">
        <v>7</v>
      </c>
      <c r="C143" t="s">
        <v>3</v>
      </c>
      <c r="D143" t="s">
        <v>12</v>
      </c>
      <c r="E143">
        <v>90.68</v>
      </c>
      <c r="F143" t="s">
        <v>7</v>
      </c>
      <c r="G143">
        <v>8.83</v>
      </c>
      <c r="H143">
        <v>28.75</v>
      </c>
      <c r="I143" t="b">
        <v>0</v>
      </c>
    </row>
    <row r="144" spans="1:9" x14ac:dyDescent="0.25">
      <c r="A144" t="s">
        <v>88</v>
      </c>
      <c r="B144" t="s">
        <v>35</v>
      </c>
      <c r="C144" t="s">
        <v>5</v>
      </c>
      <c r="D144" t="s">
        <v>35</v>
      </c>
      <c r="E144">
        <v>90.7</v>
      </c>
      <c r="F144" t="s">
        <v>26</v>
      </c>
      <c r="G144">
        <v>4.33</v>
      </c>
      <c r="H144">
        <v>15.88</v>
      </c>
      <c r="I144" t="b">
        <v>1</v>
      </c>
    </row>
    <row r="145" spans="1:9" x14ac:dyDescent="0.25">
      <c r="A145" t="s">
        <v>88</v>
      </c>
      <c r="B145" t="s">
        <v>26</v>
      </c>
      <c r="C145" t="s">
        <v>5</v>
      </c>
      <c r="D145" t="s">
        <v>26</v>
      </c>
      <c r="E145">
        <v>90.73</v>
      </c>
      <c r="F145" t="s">
        <v>45</v>
      </c>
      <c r="G145">
        <v>9.0399999999999991</v>
      </c>
      <c r="H145">
        <v>18.73</v>
      </c>
      <c r="I145" t="b">
        <v>1</v>
      </c>
    </row>
    <row r="146" spans="1:9" x14ac:dyDescent="0.25">
      <c r="A146" t="s">
        <v>89</v>
      </c>
      <c r="B146" t="s">
        <v>18</v>
      </c>
      <c r="C146" t="s">
        <v>5</v>
      </c>
      <c r="D146" t="s">
        <v>18</v>
      </c>
      <c r="E146">
        <v>91.32</v>
      </c>
      <c r="F146" t="s">
        <v>12</v>
      </c>
      <c r="G146">
        <v>8.59</v>
      </c>
      <c r="H146">
        <v>16.510000000000002</v>
      </c>
      <c r="I146" t="b">
        <v>1</v>
      </c>
    </row>
    <row r="147" spans="1:9" x14ac:dyDescent="0.25">
      <c r="A147" t="s">
        <v>89</v>
      </c>
      <c r="B147" t="s">
        <v>2</v>
      </c>
      <c r="C147" t="s">
        <v>3</v>
      </c>
      <c r="D147" t="s">
        <v>2</v>
      </c>
      <c r="E147">
        <v>91.62</v>
      </c>
      <c r="F147" t="s">
        <v>4</v>
      </c>
      <c r="G147">
        <v>3.86</v>
      </c>
      <c r="H147">
        <v>31.93</v>
      </c>
      <c r="I147" t="b">
        <v>1</v>
      </c>
    </row>
    <row r="148" spans="1:9" x14ac:dyDescent="0.25">
      <c r="A148" t="s">
        <v>90</v>
      </c>
      <c r="B148" t="s">
        <v>35</v>
      </c>
      <c r="C148" t="s">
        <v>5</v>
      </c>
      <c r="D148" t="s">
        <v>39</v>
      </c>
      <c r="E148">
        <v>91.8</v>
      </c>
      <c r="F148" t="s">
        <v>35</v>
      </c>
      <c r="G148">
        <v>7.63</v>
      </c>
      <c r="H148">
        <v>22.55</v>
      </c>
      <c r="I148" t="b">
        <v>0</v>
      </c>
    </row>
    <row r="149" spans="1:9" x14ac:dyDescent="0.25">
      <c r="A149" t="s">
        <v>90</v>
      </c>
      <c r="B149" t="s">
        <v>18</v>
      </c>
      <c r="C149" t="s">
        <v>5</v>
      </c>
      <c r="D149" t="s">
        <v>8</v>
      </c>
      <c r="E149">
        <v>91.96</v>
      </c>
      <c r="F149" t="s">
        <v>45</v>
      </c>
      <c r="G149">
        <v>4.34</v>
      </c>
      <c r="H149">
        <v>16.23</v>
      </c>
      <c r="I149" t="b">
        <v>0</v>
      </c>
    </row>
    <row r="150" spans="1:9" x14ac:dyDescent="0.25">
      <c r="A150" t="s">
        <v>92</v>
      </c>
      <c r="B150" t="s">
        <v>77</v>
      </c>
      <c r="C150" t="s">
        <v>3</v>
      </c>
      <c r="D150" t="s">
        <v>77</v>
      </c>
      <c r="E150">
        <v>92.6</v>
      </c>
      <c r="F150" t="s">
        <v>56</v>
      </c>
      <c r="G150">
        <v>3.36</v>
      </c>
      <c r="H150">
        <v>30.41</v>
      </c>
      <c r="I150" t="b">
        <v>1</v>
      </c>
    </row>
    <row r="151" spans="1:9" x14ac:dyDescent="0.25">
      <c r="A151" t="s">
        <v>92</v>
      </c>
      <c r="B151" t="s">
        <v>7</v>
      </c>
      <c r="C151" t="s">
        <v>3</v>
      </c>
      <c r="D151" t="s">
        <v>7</v>
      </c>
      <c r="E151">
        <v>92.96</v>
      </c>
      <c r="F151" t="s">
        <v>18</v>
      </c>
      <c r="G151">
        <v>3.85</v>
      </c>
      <c r="H151">
        <v>25.66</v>
      </c>
      <c r="I151" t="b">
        <v>1</v>
      </c>
    </row>
    <row r="152" spans="1:9" x14ac:dyDescent="0.25">
      <c r="A152" t="s">
        <v>14</v>
      </c>
      <c r="B152" t="s">
        <v>12</v>
      </c>
      <c r="C152" t="s">
        <v>3</v>
      </c>
      <c r="D152" t="s">
        <v>16</v>
      </c>
      <c r="E152">
        <v>93.02</v>
      </c>
      <c r="F152" t="s">
        <v>18</v>
      </c>
      <c r="G152">
        <v>6.37</v>
      </c>
      <c r="H152">
        <v>28.64</v>
      </c>
      <c r="I152" t="b">
        <v>0</v>
      </c>
    </row>
    <row r="153" spans="1:9" x14ac:dyDescent="0.25">
      <c r="A153" t="s">
        <v>14</v>
      </c>
      <c r="B153" t="s">
        <v>21</v>
      </c>
      <c r="C153" t="s">
        <v>5</v>
      </c>
      <c r="D153" t="s">
        <v>21</v>
      </c>
      <c r="E153">
        <v>93.14</v>
      </c>
      <c r="F153" t="s">
        <v>13</v>
      </c>
      <c r="G153">
        <v>6.82</v>
      </c>
      <c r="H153">
        <v>14.46</v>
      </c>
      <c r="I153" t="b">
        <v>1</v>
      </c>
    </row>
    <row r="154" spans="1:9" x14ac:dyDescent="0.25">
      <c r="A154" t="s">
        <v>93</v>
      </c>
      <c r="B154" t="s">
        <v>13</v>
      </c>
      <c r="C154" t="s">
        <v>3</v>
      </c>
      <c r="D154" t="s">
        <v>21</v>
      </c>
      <c r="E154">
        <v>93.16</v>
      </c>
      <c r="F154" t="s">
        <v>13</v>
      </c>
      <c r="G154">
        <v>6.83</v>
      </c>
      <c r="H154">
        <v>31.83</v>
      </c>
      <c r="I154" t="b">
        <v>0</v>
      </c>
    </row>
    <row r="155" spans="1:9" x14ac:dyDescent="0.25">
      <c r="A155" t="s">
        <v>93</v>
      </c>
      <c r="B155" t="s">
        <v>68</v>
      </c>
      <c r="C155" t="s">
        <v>3</v>
      </c>
      <c r="D155" t="s">
        <v>16</v>
      </c>
      <c r="E155">
        <v>93.29</v>
      </c>
      <c r="F155" t="s">
        <v>2</v>
      </c>
      <c r="G155">
        <v>6.09</v>
      </c>
      <c r="H155">
        <v>32.090000000000003</v>
      </c>
      <c r="I155" t="b">
        <v>0</v>
      </c>
    </row>
    <row r="156" spans="1:9" x14ac:dyDescent="0.25">
      <c r="A156" t="s">
        <v>94</v>
      </c>
      <c r="B156" t="s">
        <v>4</v>
      </c>
      <c r="C156" t="s">
        <v>3</v>
      </c>
      <c r="D156" t="s">
        <v>2</v>
      </c>
      <c r="E156">
        <v>93.63</v>
      </c>
      <c r="F156" t="s">
        <v>4</v>
      </c>
      <c r="G156">
        <v>4.46</v>
      </c>
      <c r="H156">
        <v>31.23</v>
      </c>
      <c r="I156" t="b">
        <v>0</v>
      </c>
    </row>
    <row r="157" spans="1:9" x14ac:dyDescent="0.25">
      <c r="A157" t="s">
        <v>94</v>
      </c>
      <c r="B157" t="s">
        <v>35</v>
      </c>
      <c r="C157" t="s">
        <v>5</v>
      </c>
      <c r="D157" t="s">
        <v>35</v>
      </c>
      <c r="E157">
        <v>93.78</v>
      </c>
      <c r="F157" t="s">
        <v>39</v>
      </c>
      <c r="G157">
        <v>3.11</v>
      </c>
      <c r="H157">
        <v>15.25</v>
      </c>
      <c r="I157" t="b">
        <v>1</v>
      </c>
    </row>
    <row r="158" spans="1:9" x14ac:dyDescent="0.25">
      <c r="A158" t="s">
        <v>95</v>
      </c>
      <c r="B158" t="s">
        <v>55</v>
      </c>
      <c r="C158" t="s">
        <v>5</v>
      </c>
      <c r="D158" t="s">
        <v>16</v>
      </c>
      <c r="E158">
        <v>93.81</v>
      </c>
      <c r="F158" t="s">
        <v>55</v>
      </c>
      <c r="G158">
        <v>6.19</v>
      </c>
      <c r="H158">
        <v>17.260000000000002</v>
      </c>
      <c r="I158" t="b">
        <v>0</v>
      </c>
    </row>
    <row r="159" spans="1:9" x14ac:dyDescent="0.25">
      <c r="A159" t="s">
        <v>95</v>
      </c>
      <c r="B159" t="s">
        <v>55</v>
      </c>
      <c r="C159" t="s">
        <v>5</v>
      </c>
      <c r="D159" t="s">
        <v>55</v>
      </c>
      <c r="E159">
        <v>93.85</v>
      </c>
      <c r="F159" t="s">
        <v>16</v>
      </c>
      <c r="G159">
        <v>4.92</v>
      </c>
      <c r="H159">
        <v>18.190000000000001</v>
      </c>
      <c r="I159" t="b">
        <v>1</v>
      </c>
    </row>
    <row r="160" spans="1:9" x14ac:dyDescent="0.25">
      <c r="A160" t="s">
        <v>96</v>
      </c>
      <c r="B160" t="s">
        <v>77</v>
      </c>
      <c r="C160" t="s">
        <v>3</v>
      </c>
      <c r="D160" t="s">
        <v>77</v>
      </c>
      <c r="E160">
        <v>94.05</v>
      </c>
      <c r="F160" t="s">
        <v>55</v>
      </c>
      <c r="G160">
        <v>5.86</v>
      </c>
      <c r="H160">
        <v>30.02</v>
      </c>
      <c r="I160" t="b">
        <v>1</v>
      </c>
    </row>
    <row r="161" spans="1:9" x14ac:dyDescent="0.25">
      <c r="A161" t="s">
        <v>96</v>
      </c>
      <c r="B161" t="s">
        <v>21</v>
      </c>
      <c r="C161" t="s">
        <v>3</v>
      </c>
      <c r="D161" t="s">
        <v>21</v>
      </c>
      <c r="E161">
        <v>94.12</v>
      </c>
      <c r="F161" t="s">
        <v>13</v>
      </c>
      <c r="G161">
        <v>5.88</v>
      </c>
      <c r="H161">
        <v>25.7</v>
      </c>
      <c r="I161" t="b">
        <v>1</v>
      </c>
    </row>
    <row r="162" spans="1:9" x14ac:dyDescent="0.25">
      <c r="A162" t="s">
        <v>14</v>
      </c>
      <c r="B162" t="s">
        <v>35</v>
      </c>
      <c r="C162" t="s">
        <v>3</v>
      </c>
      <c r="D162" t="s">
        <v>35</v>
      </c>
      <c r="E162">
        <v>94.2</v>
      </c>
      <c r="F162" t="s">
        <v>39</v>
      </c>
      <c r="G162">
        <v>5.76</v>
      </c>
      <c r="H162">
        <v>25.71</v>
      </c>
      <c r="I162" t="b">
        <v>1</v>
      </c>
    </row>
    <row r="163" spans="1:9" x14ac:dyDescent="0.25">
      <c r="A163" t="s">
        <v>14</v>
      </c>
      <c r="B163" t="s">
        <v>91</v>
      </c>
      <c r="C163" t="s">
        <v>3</v>
      </c>
      <c r="D163" t="s">
        <v>16</v>
      </c>
      <c r="E163">
        <v>94.24</v>
      </c>
      <c r="F163" t="s">
        <v>91</v>
      </c>
      <c r="G163">
        <v>2.79</v>
      </c>
      <c r="H163">
        <v>28.38</v>
      </c>
      <c r="I163" t="b">
        <v>0</v>
      </c>
    </row>
    <row r="164" spans="1:9" x14ac:dyDescent="0.25">
      <c r="A164" t="s">
        <v>97</v>
      </c>
      <c r="B164" t="s">
        <v>2</v>
      </c>
      <c r="C164" t="s">
        <v>5</v>
      </c>
      <c r="D164" t="s">
        <v>4</v>
      </c>
      <c r="E164">
        <v>94.36</v>
      </c>
      <c r="F164" t="s">
        <v>2</v>
      </c>
      <c r="G164">
        <v>5.63</v>
      </c>
      <c r="H164">
        <v>20.59</v>
      </c>
      <c r="I164" t="b">
        <v>0</v>
      </c>
    </row>
    <row r="165" spans="1:9" x14ac:dyDescent="0.25">
      <c r="A165" t="s">
        <v>97</v>
      </c>
      <c r="B165" t="s">
        <v>7</v>
      </c>
      <c r="C165" t="s">
        <v>5</v>
      </c>
      <c r="D165" t="s">
        <v>7</v>
      </c>
      <c r="E165">
        <v>94.96</v>
      </c>
      <c r="F165" t="s">
        <v>21</v>
      </c>
      <c r="G165">
        <v>4.4400000000000004</v>
      </c>
      <c r="H165">
        <v>15.47</v>
      </c>
      <c r="I165" t="b">
        <v>1</v>
      </c>
    </row>
    <row r="166" spans="1:9" x14ac:dyDescent="0.25">
      <c r="A166" t="s">
        <v>98</v>
      </c>
      <c r="B166" t="s">
        <v>56</v>
      </c>
      <c r="C166" t="s">
        <v>5</v>
      </c>
      <c r="D166" t="s">
        <v>56</v>
      </c>
      <c r="E166">
        <v>94.97</v>
      </c>
      <c r="F166" t="s">
        <v>77</v>
      </c>
      <c r="G166">
        <v>5.0199999999999996</v>
      </c>
      <c r="H166">
        <v>14.96</v>
      </c>
      <c r="I166" t="b">
        <v>1</v>
      </c>
    </row>
    <row r="167" spans="1:9" x14ac:dyDescent="0.25">
      <c r="A167" t="s">
        <v>98</v>
      </c>
      <c r="B167" t="s">
        <v>18</v>
      </c>
      <c r="C167" t="s">
        <v>5</v>
      </c>
      <c r="D167" t="s">
        <v>18</v>
      </c>
      <c r="E167">
        <v>95.08</v>
      </c>
      <c r="F167" t="s">
        <v>8</v>
      </c>
      <c r="G167">
        <v>3.79</v>
      </c>
      <c r="H167">
        <v>15.59</v>
      </c>
      <c r="I167" t="b">
        <v>1</v>
      </c>
    </row>
    <row r="168" spans="1:9" x14ac:dyDescent="0.25">
      <c r="A168" t="s">
        <v>99</v>
      </c>
      <c r="B168" t="s">
        <v>77</v>
      </c>
      <c r="C168" t="s">
        <v>5</v>
      </c>
      <c r="D168" t="s">
        <v>55</v>
      </c>
      <c r="E168">
        <v>95.12</v>
      </c>
      <c r="F168" t="s">
        <v>77</v>
      </c>
      <c r="G168">
        <v>3.66</v>
      </c>
      <c r="H168">
        <v>15.71</v>
      </c>
      <c r="I168" t="b">
        <v>0</v>
      </c>
    </row>
    <row r="169" spans="1:9" x14ac:dyDescent="0.25">
      <c r="A169" t="s">
        <v>99</v>
      </c>
      <c r="B169" t="s">
        <v>7</v>
      </c>
      <c r="C169" t="s">
        <v>5</v>
      </c>
      <c r="D169" t="s">
        <v>12</v>
      </c>
      <c r="E169">
        <v>95.15</v>
      </c>
      <c r="F169" t="s">
        <v>18</v>
      </c>
      <c r="G169">
        <v>3.45</v>
      </c>
      <c r="H169">
        <v>14.73</v>
      </c>
      <c r="I169" t="b">
        <v>0</v>
      </c>
    </row>
    <row r="170" spans="1:9" x14ac:dyDescent="0.25">
      <c r="A170" t="s">
        <v>100</v>
      </c>
      <c r="B170" t="s">
        <v>56</v>
      </c>
      <c r="C170" t="s">
        <v>5</v>
      </c>
      <c r="D170" t="s">
        <v>56</v>
      </c>
      <c r="E170">
        <v>95.17</v>
      </c>
      <c r="F170" t="s">
        <v>77</v>
      </c>
      <c r="G170">
        <v>4.38</v>
      </c>
      <c r="H170">
        <v>16.77</v>
      </c>
      <c r="I170" t="b">
        <v>1</v>
      </c>
    </row>
    <row r="171" spans="1:9" x14ac:dyDescent="0.25">
      <c r="A171" t="s">
        <v>100</v>
      </c>
      <c r="B171" t="s">
        <v>2</v>
      </c>
      <c r="C171" t="s">
        <v>3</v>
      </c>
      <c r="D171" t="s">
        <v>2</v>
      </c>
      <c r="E171">
        <v>95.22</v>
      </c>
      <c r="F171" t="s">
        <v>4</v>
      </c>
      <c r="G171">
        <v>4.41</v>
      </c>
      <c r="H171">
        <v>30.77</v>
      </c>
      <c r="I171" t="b">
        <v>1</v>
      </c>
    </row>
    <row r="172" spans="1:9" x14ac:dyDescent="0.25">
      <c r="A172" t="s">
        <v>101</v>
      </c>
      <c r="B172" t="s">
        <v>12</v>
      </c>
      <c r="C172" t="s">
        <v>3</v>
      </c>
      <c r="D172" t="s">
        <v>12</v>
      </c>
      <c r="E172">
        <v>95.35</v>
      </c>
      <c r="F172" t="s">
        <v>18</v>
      </c>
      <c r="G172">
        <v>4.5999999999999996</v>
      </c>
      <c r="H172">
        <v>30.55</v>
      </c>
      <c r="I172" t="b">
        <v>1</v>
      </c>
    </row>
    <row r="173" spans="1:9" x14ac:dyDescent="0.25">
      <c r="A173" t="s">
        <v>101</v>
      </c>
      <c r="B173" t="s">
        <v>55</v>
      </c>
      <c r="C173" t="s">
        <v>3</v>
      </c>
      <c r="D173" t="s">
        <v>55</v>
      </c>
      <c r="E173">
        <v>95.52</v>
      </c>
      <c r="F173" t="s">
        <v>16</v>
      </c>
      <c r="G173">
        <v>4.3899999999999997</v>
      </c>
      <c r="H173">
        <v>27.24</v>
      </c>
      <c r="I173" t="b">
        <v>1</v>
      </c>
    </row>
    <row r="174" spans="1:9" x14ac:dyDescent="0.25">
      <c r="A174" t="s">
        <v>102</v>
      </c>
      <c r="B174" t="s">
        <v>7</v>
      </c>
      <c r="C174" t="s">
        <v>5</v>
      </c>
      <c r="D174" t="s">
        <v>7</v>
      </c>
      <c r="E174">
        <v>95.61</v>
      </c>
      <c r="F174" t="s">
        <v>12</v>
      </c>
      <c r="G174">
        <v>2.84</v>
      </c>
      <c r="H174">
        <v>16.13</v>
      </c>
      <c r="I174" t="b">
        <v>1</v>
      </c>
    </row>
    <row r="175" spans="1:9" x14ac:dyDescent="0.25">
      <c r="A175" t="s">
        <v>102</v>
      </c>
      <c r="B175" t="s">
        <v>26</v>
      </c>
      <c r="C175" t="s">
        <v>5</v>
      </c>
      <c r="D175" t="s">
        <v>18</v>
      </c>
      <c r="E175">
        <v>95.62</v>
      </c>
      <c r="F175" t="s">
        <v>26</v>
      </c>
      <c r="G175">
        <v>3.32</v>
      </c>
      <c r="H175">
        <v>16.21</v>
      </c>
      <c r="I175" t="b">
        <v>0</v>
      </c>
    </row>
    <row r="176" spans="1:9" x14ac:dyDescent="0.25">
      <c r="A176" t="s">
        <v>103</v>
      </c>
      <c r="B176" t="s">
        <v>12</v>
      </c>
      <c r="C176" t="s">
        <v>3</v>
      </c>
      <c r="D176" t="s">
        <v>12</v>
      </c>
      <c r="E176">
        <v>95.69</v>
      </c>
      <c r="F176" t="s">
        <v>26</v>
      </c>
      <c r="G176">
        <v>3.77</v>
      </c>
      <c r="H176">
        <v>31.16</v>
      </c>
      <c r="I176" t="b">
        <v>1</v>
      </c>
    </row>
    <row r="177" spans="1:9" x14ac:dyDescent="0.25">
      <c r="A177" t="s">
        <v>103</v>
      </c>
      <c r="B177" t="s">
        <v>77</v>
      </c>
      <c r="C177" t="s">
        <v>3</v>
      </c>
      <c r="D177" t="s">
        <v>55</v>
      </c>
      <c r="E177">
        <v>95.89</v>
      </c>
      <c r="F177" t="s">
        <v>77</v>
      </c>
      <c r="G177">
        <v>3.31</v>
      </c>
      <c r="H177">
        <v>30.04</v>
      </c>
      <c r="I177" t="b">
        <v>0</v>
      </c>
    </row>
    <row r="178" spans="1:9" x14ac:dyDescent="0.25">
      <c r="A178" t="s">
        <v>104</v>
      </c>
      <c r="B178" t="s">
        <v>2</v>
      </c>
      <c r="C178" t="s">
        <v>5</v>
      </c>
      <c r="D178" t="s">
        <v>2</v>
      </c>
      <c r="E178">
        <v>96.01</v>
      </c>
      <c r="F178" t="s">
        <v>8</v>
      </c>
      <c r="G178">
        <v>3.42</v>
      </c>
      <c r="H178">
        <v>15.94</v>
      </c>
      <c r="I178" t="b">
        <v>1</v>
      </c>
    </row>
    <row r="179" spans="1:9" x14ac:dyDescent="0.25">
      <c r="A179" t="s">
        <v>104</v>
      </c>
      <c r="B179" t="s">
        <v>16</v>
      </c>
      <c r="C179" t="s">
        <v>5</v>
      </c>
      <c r="D179" t="s">
        <v>16</v>
      </c>
      <c r="E179">
        <v>96.01</v>
      </c>
      <c r="F179" t="s">
        <v>13</v>
      </c>
      <c r="G179">
        <v>3.08</v>
      </c>
      <c r="H179">
        <v>17.3</v>
      </c>
      <c r="I179" t="b">
        <v>1</v>
      </c>
    </row>
    <row r="180" spans="1:9" x14ac:dyDescent="0.25">
      <c r="A180" t="s">
        <v>105</v>
      </c>
      <c r="B180" t="s">
        <v>91</v>
      </c>
      <c r="C180" t="s">
        <v>5</v>
      </c>
      <c r="D180" t="s">
        <v>77</v>
      </c>
      <c r="E180">
        <v>96.12</v>
      </c>
      <c r="F180" t="s">
        <v>56</v>
      </c>
      <c r="G180">
        <v>3.58</v>
      </c>
      <c r="H180">
        <v>15.53</v>
      </c>
      <c r="I180" t="b">
        <v>0</v>
      </c>
    </row>
    <row r="181" spans="1:9" x14ac:dyDescent="0.25">
      <c r="A181" t="s">
        <v>105</v>
      </c>
      <c r="B181" t="s">
        <v>2</v>
      </c>
      <c r="C181" t="s">
        <v>5</v>
      </c>
      <c r="D181" t="s">
        <v>4</v>
      </c>
      <c r="E181">
        <v>96.19</v>
      </c>
      <c r="F181" t="s">
        <v>2</v>
      </c>
      <c r="G181">
        <v>3.81</v>
      </c>
      <c r="H181">
        <v>14.93</v>
      </c>
      <c r="I181" t="b">
        <v>0</v>
      </c>
    </row>
    <row r="182" spans="1:9" x14ac:dyDescent="0.25">
      <c r="A182" t="s">
        <v>25</v>
      </c>
      <c r="B182" t="s">
        <v>4</v>
      </c>
      <c r="C182" t="s">
        <v>5</v>
      </c>
      <c r="D182" t="s">
        <v>4</v>
      </c>
      <c r="E182">
        <v>96.22</v>
      </c>
      <c r="F182" t="s">
        <v>2</v>
      </c>
      <c r="G182">
        <v>3.5</v>
      </c>
      <c r="H182">
        <v>16.36</v>
      </c>
      <c r="I182" t="b">
        <v>1</v>
      </c>
    </row>
    <row r="183" spans="1:9" x14ac:dyDescent="0.25">
      <c r="A183" t="s">
        <v>25</v>
      </c>
      <c r="B183" t="s">
        <v>45</v>
      </c>
      <c r="C183" t="s">
        <v>5</v>
      </c>
      <c r="D183" t="s">
        <v>45</v>
      </c>
      <c r="E183">
        <v>96.35</v>
      </c>
      <c r="F183" t="s">
        <v>18</v>
      </c>
      <c r="G183">
        <v>3.25</v>
      </c>
      <c r="H183">
        <v>14.97</v>
      </c>
      <c r="I183" t="b">
        <v>1</v>
      </c>
    </row>
    <row r="184" spans="1:9" x14ac:dyDescent="0.25">
      <c r="A184" t="s">
        <v>106</v>
      </c>
      <c r="B184" t="s">
        <v>2</v>
      </c>
      <c r="C184" t="s">
        <v>3</v>
      </c>
      <c r="D184" t="s">
        <v>4</v>
      </c>
      <c r="E184">
        <v>96.46</v>
      </c>
      <c r="F184" t="s">
        <v>13</v>
      </c>
      <c r="G184">
        <v>1.88</v>
      </c>
      <c r="H184">
        <v>34.61</v>
      </c>
      <c r="I184" t="b">
        <v>0</v>
      </c>
    </row>
    <row r="185" spans="1:9" x14ac:dyDescent="0.25">
      <c r="A185" t="s">
        <v>106</v>
      </c>
      <c r="B185" t="s">
        <v>39</v>
      </c>
      <c r="C185" t="s">
        <v>5</v>
      </c>
      <c r="D185" t="s">
        <v>35</v>
      </c>
      <c r="E185">
        <v>96.51</v>
      </c>
      <c r="F185" t="s">
        <v>2</v>
      </c>
      <c r="G185">
        <v>1.32</v>
      </c>
      <c r="H185">
        <v>19.66</v>
      </c>
      <c r="I185" t="b">
        <v>0</v>
      </c>
    </row>
    <row r="186" spans="1:9" x14ac:dyDescent="0.25">
      <c r="A186" t="s">
        <v>107</v>
      </c>
      <c r="B186" t="s">
        <v>77</v>
      </c>
      <c r="C186" t="s">
        <v>5</v>
      </c>
      <c r="D186" t="s">
        <v>55</v>
      </c>
      <c r="E186">
        <v>96.68</v>
      </c>
      <c r="F186" t="s">
        <v>21</v>
      </c>
      <c r="G186">
        <v>2.0299999999999998</v>
      </c>
      <c r="H186">
        <v>17.420000000000002</v>
      </c>
      <c r="I186" t="b">
        <v>0</v>
      </c>
    </row>
    <row r="187" spans="1:9" x14ac:dyDescent="0.25">
      <c r="A187" t="s">
        <v>107</v>
      </c>
      <c r="B187" t="s">
        <v>77</v>
      </c>
      <c r="C187" t="s">
        <v>3</v>
      </c>
      <c r="D187" t="s">
        <v>55</v>
      </c>
      <c r="E187">
        <v>96.75</v>
      </c>
      <c r="F187" t="s">
        <v>91</v>
      </c>
      <c r="G187">
        <v>3.06</v>
      </c>
      <c r="H187">
        <v>26.91</v>
      </c>
      <c r="I187" t="b">
        <v>0</v>
      </c>
    </row>
    <row r="188" spans="1:9" x14ac:dyDescent="0.25">
      <c r="A188" t="s">
        <v>108</v>
      </c>
      <c r="B188" t="s">
        <v>13</v>
      </c>
      <c r="C188" t="s">
        <v>5</v>
      </c>
      <c r="D188" t="s">
        <v>13</v>
      </c>
      <c r="E188">
        <v>96.86</v>
      </c>
      <c r="F188" t="s">
        <v>2</v>
      </c>
      <c r="G188">
        <v>1.54</v>
      </c>
      <c r="H188">
        <v>14.7</v>
      </c>
      <c r="I188" t="b">
        <v>1</v>
      </c>
    </row>
    <row r="189" spans="1:9" x14ac:dyDescent="0.25">
      <c r="A189" t="s">
        <v>108</v>
      </c>
      <c r="B189" t="s">
        <v>7</v>
      </c>
      <c r="C189" t="s">
        <v>5</v>
      </c>
      <c r="D189" t="s">
        <v>12</v>
      </c>
      <c r="E189">
        <v>96.9</v>
      </c>
      <c r="F189" t="s">
        <v>7</v>
      </c>
      <c r="G189">
        <v>1.59</v>
      </c>
      <c r="H189">
        <v>20.03</v>
      </c>
      <c r="I189" t="b">
        <v>0</v>
      </c>
    </row>
    <row r="190" spans="1:9" x14ac:dyDescent="0.25">
      <c r="A190" t="s">
        <v>109</v>
      </c>
      <c r="B190" t="s">
        <v>18</v>
      </c>
      <c r="C190" t="s">
        <v>5</v>
      </c>
      <c r="D190" t="s">
        <v>12</v>
      </c>
      <c r="E190">
        <v>96.94</v>
      </c>
      <c r="F190" t="s">
        <v>13</v>
      </c>
      <c r="G190">
        <v>1.92</v>
      </c>
      <c r="H190">
        <v>16.23</v>
      </c>
      <c r="I190" t="b">
        <v>0</v>
      </c>
    </row>
    <row r="191" spans="1:9" x14ac:dyDescent="0.25">
      <c r="A191" t="s">
        <v>109</v>
      </c>
      <c r="B191" t="s">
        <v>4</v>
      </c>
      <c r="C191" t="s">
        <v>5</v>
      </c>
      <c r="D191" t="s">
        <v>2</v>
      </c>
      <c r="E191">
        <v>97.01</v>
      </c>
      <c r="F191" t="s">
        <v>4</v>
      </c>
      <c r="G191">
        <v>2.98</v>
      </c>
      <c r="H191">
        <v>17.96</v>
      </c>
      <c r="I191" t="b">
        <v>0</v>
      </c>
    </row>
    <row r="192" spans="1:9" x14ac:dyDescent="0.25">
      <c r="A192" t="s">
        <v>110</v>
      </c>
      <c r="B192" t="s">
        <v>7</v>
      </c>
      <c r="C192" t="s">
        <v>5</v>
      </c>
      <c r="D192" t="s">
        <v>8</v>
      </c>
      <c r="E192">
        <v>97.18</v>
      </c>
      <c r="F192" t="s">
        <v>7</v>
      </c>
      <c r="G192">
        <v>1.89</v>
      </c>
      <c r="H192">
        <v>17.16</v>
      </c>
      <c r="I192" t="b">
        <v>0</v>
      </c>
    </row>
    <row r="193" spans="1:9" x14ac:dyDescent="0.25">
      <c r="A193" t="s">
        <v>110</v>
      </c>
      <c r="B193" t="s">
        <v>13</v>
      </c>
      <c r="C193" t="s">
        <v>3</v>
      </c>
      <c r="D193" t="s">
        <v>13</v>
      </c>
      <c r="E193">
        <v>97.2</v>
      </c>
      <c r="F193" t="s">
        <v>21</v>
      </c>
      <c r="G193">
        <v>2.61</v>
      </c>
      <c r="H193">
        <v>26.9</v>
      </c>
      <c r="I193" t="b">
        <v>1</v>
      </c>
    </row>
    <row r="194" spans="1:9" x14ac:dyDescent="0.25">
      <c r="A194" t="s">
        <v>111</v>
      </c>
      <c r="B194" t="s">
        <v>7</v>
      </c>
      <c r="C194" t="s">
        <v>3</v>
      </c>
      <c r="D194" t="s">
        <v>12</v>
      </c>
      <c r="E194">
        <v>97.23</v>
      </c>
      <c r="F194" t="s">
        <v>18</v>
      </c>
      <c r="G194">
        <v>2.73</v>
      </c>
      <c r="H194">
        <v>32.6</v>
      </c>
      <c r="I194" t="b">
        <v>0</v>
      </c>
    </row>
    <row r="195" spans="1:9" x14ac:dyDescent="0.25">
      <c r="A195" t="s">
        <v>111</v>
      </c>
      <c r="B195" t="s">
        <v>12</v>
      </c>
      <c r="C195" t="s">
        <v>3</v>
      </c>
      <c r="D195" t="s">
        <v>18</v>
      </c>
      <c r="E195">
        <v>97.25</v>
      </c>
      <c r="F195" t="s">
        <v>7</v>
      </c>
      <c r="G195">
        <v>2.63</v>
      </c>
      <c r="H195">
        <v>26.38</v>
      </c>
      <c r="I195" t="b">
        <v>0</v>
      </c>
    </row>
    <row r="196" spans="1:9" x14ac:dyDescent="0.25">
      <c r="A196" t="s">
        <v>112</v>
      </c>
      <c r="B196" t="s">
        <v>35</v>
      </c>
      <c r="C196" t="s">
        <v>3</v>
      </c>
      <c r="D196" t="s">
        <v>13</v>
      </c>
      <c r="E196">
        <v>97.27</v>
      </c>
      <c r="F196" t="s">
        <v>39</v>
      </c>
      <c r="G196">
        <v>2.2799999999999998</v>
      </c>
      <c r="H196">
        <v>25.95</v>
      </c>
      <c r="I196" t="b">
        <v>0</v>
      </c>
    </row>
    <row r="197" spans="1:9" x14ac:dyDescent="0.25">
      <c r="A197" t="s">
        <v>112</v>
      </c>
      <c r="B197" t="s">
        <v>13</v>
      </c>
      <c r="C197" t="s">
        <v>3</v>
      </c>
      <c r="D197" t="s">
        <v>13</v>
      </c>
      <c r="E197">
        <v>97.3</v>
      </c>
      <c r="F197" t="s">
        <v>21</v>
      </c>
      <c r="G197">
        <v>2.52</v>
      </c>
      <c r="H197">
        <v>27.36</v>
      </c>
      <c r="I197" t="b">
        <v>1</v>
      </c>
    </row>
    <row r="198" spans="1:9" x14ac:dyDescent="0.25">
      <c r="A198" t="s">
        <v>113</v>
      </c>
      <c r="B198" t="s">
        <v>91</v>
      </c>
      <c r="C198" t="s">
        <v>3</v>
      </c>
      <c r="D198" t="s">
        <v>56</v>
      </c>
      <c r="E198">
        <v>97.44</v>
      </c>
      <c r="F198" t="s">
        <v>77</v>
      </c>
      <c r="G198">
        <v>1.87</v>
      </c>
      <c r="H198">
        <v>28.61</v>
      </c>
      <c r="I198" t="b">
        <v>0</v>
      </c>
    </row>
    <row r="199" spans="1:9" x14ac:dyDescent="0.25">
      <c r="A199" t="s">
        <v>113</v>
      </c>
      <c r="B199" t="s">
        <v>45</v>
      </c>
      <c r="C199" t="s">
        <v>3</v>
      </c>
      <c r="D199" t="s">
        <v>45</v>
      </c>
      <c r="E199">
        <v>97.47</v>
      </c>
      <c r="F199" t="s">
        <v>26</v>
      </c>
      <c r="G199">
        <v>1.47</v>
      </c>
      <c r="H199">
        <v>29.57</v>
      </c>
      <c r="I199" t="b">
        <v>1</v>
      </c>
    </row>
    <row r="200" spans="1:9" x14ac:dyDescent="0.25">
      <c r="A200" t="s">
        <v>114</v>
      </c>
      <c r="B200" t="s">
        <v>13</v>
      </c>
      <c r="C200" t="s">
        <v>3</v>
      </c>
      <c r="D200" t="s">
        <v>18</v>
      </c>
      <c r="E200">
        <v>97.5</v>
      </c>
      <c r="F200" t="s">
        <v>26</v>
      </c>
      <c r="G200">
        <v>0.62</v>
      </c>
      <c r="H200">
        <v>25.77</v>
      </c>
      <c r="I200" t="b">
        <v>0</v>
      </c>
    </row>
    <row r="201" spans="1:9" x14ac:dyDescent="0.25">
      <c r="A201" t="s">
        <v>114</v>
      </c>
      <c r="B201" t="s">
        <v>8</v>
      </c>
      <c r="C201" t="s">
        <v>5</v>
      </c>
      <c r="D201" t="s">
        <v>8</v>
      </c>
      <c r="E201">
        <v>97.67</v>
      </c>
      <c r="F201" t="s">
        <v>45</v>
      </c>
      <c r="G201">
        <v>2.31</v>
      </c>
      <c r="H201">
        <v>17.28</v>
      </c>
      <c r="I201" t="b">
        <v>1</v>
      </c>
    </row>
    <row r="202" spans="1:9" x14ac:dyDescent="0.25">
      <c r="A202" t="s">
        <v>115</v>
      </c>
      <c r="B202" t="s">
        <v>18</v>
      </c>
      <c r="C202" t="s">
        <v>3</v>
      </c>
      <c r="D202" t="s">
        <v>18</v>
      </c>
      <c r="E202">
        <v>97.79</v>
      </c>
      <c r="F202" t="s">
        <v>12</v>
      </c>
      <c r="G202">
        <v>1.94</v>
      </c>
      <c r="H202">
        <v>30.03</v>
      </c>
      <c r="I202" t="b">
        <v>1</v>
      </c>
    </row>
    <row r="203" spans="1:9" x14ac:dyDescent="0.25">
      <c r="A203" t="s">
        <v>115</v>
      </c>
      <c r="B203" t="s">
        <v>13</v>
      </c>
      <c r="C203" t="s">
        <v>3</v>
      </c>
      <c r="D203" t="s">
        <v>13</v>
      </c>
      <c r="E203">
        <v>97.81</v>
      </c>
      <c r="F203" t="s">
        <v>68</v>
      </c>
      <c r="G203">
        <v>0.98</v>
      </c>
      <c r="H203">
        <v>29.56</v>
      </c>
      <c r="I203" t="b">
        <v>1</v>
      </c>
    </row>
    <row r="204" spans="1:9" x14ac:dyDescent="0.25">
      <c r="A204" t="s">
        <v>116</v>
      </c>
      <c r="B204" t="s">
        <v>91</v>
      </c>
      <c r="C204" t="s">
        <v>5</v>
      </c>
      <c r="D204" t="s">
        <v>56</v>
      </c>
      <c r="E204">
        <v>97.96</v>
      </c>
      <c r="F204" t="s">
        <v>77</v>
      </c>
      <c r="G204">
        <v>2.0299999999999998</v>
      </c>
      <c r="H204">
        <v>15.54</v>
      </c>
      <c r="I204" t="b">
        <v>0</v>
      </c>
    </row>
    <row r="205" spans="1:9" x14ac:dyDescent="0.25">
      <c r="A205" t="s">
        <v>116</v>
      </c>
      <c r="B205" t="s">
        <v>2</v>
      </c>
      <c r="C205" t="s">
        <v>5</v>
      </c>
      <c r="D205" t="s">
        <v>2</v>
      </c>
      <c r="E205">
        <v>97.98</v>
      </c>
      <c r="F205" t="s">
        <v>4</v>
      </c>
      <c r="G205">
        <v>2.02</v>
      </c>
      <c r="H205">
        <v>15.7</v>
      </c>
      <c r="I205" t="b">
        <v>1</v>
      </c>
    </row>
    <row r="206" spans="1:9" x14ac:dyDescent="0.25">
      <c r="A206" t="s">
        <v>14</v>
      </c>
      <c r="B206" t="s">
        <v>56</v>
      </c>
      <c r="C206" t="s">
        <v>3</v>
      </c>
      <c r="D206" t="s">
        <v>56</v>
      </c>
      <c r="E206">
        <v>98.08</v>
      </c>
      <c r="F206" t="s">
        <v>91</v>
      </c>
      <c r="G206">
        <v>1.47</v>
      </c>
      <c r="H206">
        <v>26.54</v>
      </c>
      <c r="I206" t="b">
        <v>1</v>
      </c>
    </row>
    <row r="207" spans="1:9" x14ac:dyDescent="0.25">
      <c r="A207" t="s">
        <v>14</v>
      </c>
      <c r="B207" t="s">
        <v>13</v>
      </c>
      <c r="C207" t="s">
        <v>3</v>
      </c>
      <c r="D207" t="s">
        <v>13</v>
      </c>
      <c r="E207">
        <v>98.13</v>
      </c>
      <c r="F207" t="s">
        <v>21</v>
      </c>
      <c r="G207">
        <v>1.82</v>
      </c>
      <c r="H207">
        <v>25.51</v>
      </c>
      <c r="I207" t="b">
        <v>1</v>
      </c>
    </row>
    <row r="208" spans="1:9" x14ac:dyDescent="0.25">
      <c r="A208" t="s">
        <v>117</v>
      </c>
      <c r="B208" t="s">
        <v>21</v>
      </c>
      <c r="C208" t="s">
        <v>5</v>
      </c>
      <c r="D208" t="s">
        <v>21</v>
      </c>
      <c r="E208">
        <v>98.24</v>
      </c>
      <c r="F208" t="s">
        <v>56</v>
      </c>
      <c r="G208">
        <v>1.66</v>
      </c>
      <c r="H208">
        <v>14.72</v>
      </c>
      <c r="I208" t="b">
        <v>1</v>
      </c>
    </row>
    <row r="209" spans="1:9" x14ac:dyDescent="0.25">
      <c r="A209" t="s">
        <v>117</v>
      </c>
      <c r="B209" t="s">
        <v>39</v>
      </c>
      <c r="C209" t="s">
        <v>3</v>
      </c>
      <c r="D209" t="s">
        <v>39</v>
      </c>
      <c r="E209">
        <v>98.24</v>
      </c>
      <c r="F209" t="s">
        <v>16</v>
      </c>
      <c r="G209">
        <v>0.98</v>
      </c>
      <c r="H209">
        <v>27.59</v>
      </c>
      <c r="I209" t="b">
        <v>1</v>
      </c>
    </row>
    <row r="210" spans="1:9" x14ac:dyDescent="0.25">
      <c r="A210" t="s">
        <v>118</v>
      </c>
      <c r="B210" t="s">
        <v>39</v>
      </c>
      <c r="C210" t="s">
        <v>5</v>
      </c>
      <c r="D210" t="s">
        <v>39</v>
      </c>
      <c r="E210">
        <v>98.27</v>
      </c>
      <c r="F210" t="s">
        <v>35</v>
      </c>
      <c r="G210">
        <v>1.7</v>
      </c>
      <c r="H210">
        <v>16.14</v>
      </c>
      <c r="I210" t="b">
        <v>1</v>
      </c>
    </row>
    <row r="211" spans="1:9" x14ac:dyDescent="0.25">
      <c r="A211" t="s">
        <v>118</v>
      </c>
      <c r="B211" t="s">
        <v>26</v>
      </c>
      <c r="C211" t="s">
        <v>5</v>
      </c>
      <c r="D211" t="s">
        <v>26</v>
      </c>
      <c r="E211">
        <v>98.43</v>
      </c>
      <c r="F211" t="s">
        <v>45</v>
      </c>
      <c r="G211">
        <v>0.86</v>
      </c>
      <c r="H211">
        <v>16.41</v>
      </c>
      <c r="I211" t="b">
        <v>1</v>
      </c>
    </row>
    <row r="212" spans="1:9" x14ac:dyDescent="0.25">
      <c r="A212" t="s">
        <v>119</v>
      </c>
      <c r="B212" t="s">
        <v>68</v>
      </c>
      <c r="C212" t="s">
        <v>5</v>
      </c>
      <c r="D212" t="s">
        <v>68</v>
      </c>
      <c r="E212">
        <v>98.43</v>
      </c>
      <c r="F212" t="s">
        <v>21</v>
      </c>
      <c r="G212">
        <v>1.38</v>
      </c>
      <c r="H212">
        <v>19.16</v>
      </c>
      <c r="I212" t="b">
        <v>1</v>
      </c>
    </row>
    <row r="213" spans="1:9" x14ac:dyDescent="0.25">
      <c r="A213" t="s">
        <v>119</v>
      </c>
      <c r="B213" t="s">
        <v>68</v>
      </c>
      <c r="C213" t="s">
        <v>3</v>
      </c>
      <c r="D213" t="s">
        <v>68</v>
      </c>
      <c r="E213">
        <v>98.48</v>
      </c>
      <c r="F213" t="s">
        <v>26</v>
      </c>
      <c r="G213">
        <v>0.42</v>
      </c>
      <c r="H213">
        <v>31.32</v>
      </c>
      <c r="I213" t="b">
        <v>1</v>
      </c>
    </row>
    <row r="214" spans="1:9" x14ac:dyDescent="0.25">
      <c r="A214" t="s">
        <v>120</v>
      </c>
      <c r="B214" t="s">
        <v>77</v>
      </c>
      <c r="C214" t="s">
        <v>5</v>
      </c>
      <c r="D214" t="s">
        <v>77</v>
      </c>
      <c r="E214">
        <v>98.5</v>
      </c>
      <c r="F214" t="s">
        <v>55</v>
      </c>
      <c r="G214">
        <v>1.49</v>
      </c>
      <c r="H214">
        <v>17.72</v>
      </c>
      <c r="I214" t="b">
        <v>1</v>
      </c>
    </row>
    <row r="215" spans="1:9" x14ac:dyDescent="0.25">
      <c r="A215" t="s">
        <v>120</v>
      </c>
      <c r="B215" t="s">
        <v>12</v>
      </c>
      <c r="C215" t="s">
        <v>3</v>
      </c>
      <c r="D215" t="s">
        <v>12</v>
      </c>
      <c r="E215">
        <v>98.51</v>
      </c>
      <c r="F215" t="s">
        <v>18</v>
      </c>
      <c r="G215">
        <v>1.17</v>
      </c>
      <c r="H215">
        <v>28.01</v>
      </c>
      <c r="I215" t="b">
        <v>1</v>
      </c>
    </row>
    <row r="216" spans="1:9" x14ac:dyDescent="0.25">
      <c r="A216" t="s">
        <v>121</v>
      </c>
      <c r="B216" t="s">
        <v>68</v>
      </c>
      <c r="C216" t="s">
        <v>5</v>
      </c>
      <c r="D216" t="s">
        <v>68</v>
      </c>
      <c r="E216">
        <v>98.64</v>
      </c>
      <c r="F216" t="s">
        <v>55</v>
      </c>
      <c r="G216">
        <v>1.35</v>
      </c>
      <c r="H216">
        <v>16.14</v>
      </c>
      <c r="I216" t="b">
        <v>1</v>
      </c>
    </row>
    <row r="217" spans="1:9" x14ac:dyDescent="0.25">
      <c r="A217" t="s">
        <v>121</v>
      </c>
      <c r="B217" t="s">
        <v>16</v>
      </c>
      <c r="C217" t="s">
        <v>3</v>
      </c>
      <c r="D217" t="s">
        <v>16</v>
      </c>
      <c r="E217">
        <v>98.71</v>
      </c>
      <c r="F217" t="s">
        <v>55</v>
      </c>
      <c r="G217">
        <v>0.69</v>
      </c>
      <c r="H217">
        <v>29.04</v>
      </c>
      <c r="I217" t="b">
        <v>1</v>
      </c>
    </row>
    <row r="218" spans="1:9" x14ac:dyDescent="0.25">
      <c r="A218" t="s">
        <v>122</v>
      </c>
      <c r="B218" t="s">
        <v>12</v>
      </c>
      <c r="C218" t="s">
        <v>5</v>
      </c>
      <c r="D218" t="s">
        <v>12</v>
      </c>
      <c r="E218">
        <v>98.75</v>
      </c>
      <c r="F218" t="s">
        <v>18</v>
      </c>
      <c r="G218">
        <v>0.63</v>
      </c>
      <c r="H218">
        <v>16.54</v>
      </c>
      <c r="I218" t="b">
        <v>1</v>
      </c>
    </row>
    <row r="219" spans="1:9" x14ac:dyDescent="0.25">
      <c r="A219" t="s">
        <v>122</v>
      </c>
      <c r="B219" t="s">
        <v>4</v>
      </c>
      <c r="C219" t="s">
        <v>5</v>
      </c>
      <c r="D219" t="s">
        <v>4</v>
      </c>
      <c r="E219">
        <v>98.79</v>
      </c>
      <c r="F219" t="s">
        <v>2</v>
      </c>
      <c r="G219">
        <v>1.2</v>
      </c>
      <c r="H219">
        <v>19.28</v>
      </c>
      <c r="I219" t="b">
        <v>1</v>
      </c>
    </row>
    <row r="220" spans="1:9" x14ac:dyDescent="0.25">
      <c r="A220" t="s">
        <v>123</v>
      </c>
      <c r="B220" t="s">
        <v>21</v>
      </c>
      <c r="C220" t="s">
        <v>5</v>
      </c>
      <c r="D220" t="s">
        <v>21</v>
      </c>
      <c r="E220">
        <v>98.82</v>
      </c>
      <c r="F220" t="s">
        <v>13</v>
      </c>
      <c r="G220">
        <v>1</v>
      </c>
      <c r="H220">
        <v>15.53</v>
      </c>
      <c r="I220" t="b">
        <v>1</v>
      </c>
    </row>
    <row r="221" spans="1:9" x14ac:dyDescent="0.25">
      <c r="A221" t="s">
        <v>123</v>
      </c>
      <c r="B221" t="s">
        <v>12</v>
      </c>
      <c r="C221" t="s">
        <v>5</v>
      </c>
      <c r="D221" t="s">
        <v>12</v>
      </c>
      <c r="E221">
        <v>98.85</v>
      </c>
      <c r="F221" t="s">
        <v>26</v>
      </c>
      <c r="G221">
        <v>0.85</v>
      </c>
      <c r="H221">
        <v>15.96</v>
      </c>
      <c r="I221" t="b">
        <v>1</v>
      </c>
    </row>
    <row r="222" spans="1:9" x14ac:dyDescent="0.25">
      <c r="A222" t="s">
        <v>124</v>
      </c>
      <c r="B222" t="s">
        <v>2</v>
      </c>
      <c r="C222" t="s">
        <v>3</v>
      </c>
      <c r="D222" t="s">
        <v>2</v>
      </c>
      <c r="E222">
        <v>98.88</v>
      </c>
      <c r="F222" t="s">
        <v>4</v>
      </c>
      <c r="G222">
        <v>1.0900000000000001</v>
      </c>
      <c r="H222">
        <v>112.14</v>
      </c>
      <c r="I222" t="b">
        <v>1</v>
      </c>
    </row>
    <row r="223" spans="1:9" x14ac:dyDescent="0.25">
      <c r="A223" t="s">
        <v>124</v>
      </c>
      <c r="B223" t="s">
        <v>21</v>
      </c>
      <c r="C223" t="s">
        <v>3</v>
      </c>
      <c r="D223" t="s">
        <v>21</v>
      </c>
      <c r="E223">
        <v>98.88</v>
      </c>
      <c r="F223" t="s">
        <v>13</v>
      </c>
      <c r="G223">
        <v>1.1200000000000001</v>
      </c>
      <c r="H223">
        <v>27.59</v>
      </c>
      <c r="I223" t="b">
        <v>1</v>
      </c>
    </row>
    <row r="224" spans="1:9" x14ac:dyDescent="0.25">
      <c r="A224" t="s">
        <v>125</v>
      </c>
      <c r="B224" t="s">
        <v>39</v>
      </c>
      <c r="C224" t="s">
        <v>3</v>
      </c>
      <c r="D224" t="s">
        <v>18</v>
      </c>
      <c r="E224">
        <v>98.9</v>
      </c>
      <c r="F224" t="s">
        <v>13</v>
      </c>
      <c r="G224">
        <v>0.3</v>
      </c>
      <c r="H224">
        <v>27.08</v>
      </c>
      <c r="I224" t="b">
        <v>0</v>
      </c>
    </row>
    <row r="225" spans="1:9" x14ac:dyDescent="0.25">
      <c r="A225" t="s">
        <v>125</v>
      </c>
      <c r="B225" t="s">
        <v>35</v>
      </c>
      <c r="C225" t="s">
        <v>5</v>
      </c>
      <c r="D225" t="s">
        <v>8</v>
      </c>
      <c r="E225">
        <v>98.97</v>
      </c>
      <c r="F225" t="s">
        <v>56</v>
      </c>
      <c r="G225">
        <v>0.41</v>
      </c>
      <c r="H225">
        <v>15.84</v>
      </c>
      <c r="I225" t="b">
        <v>0</v>
      </c>
    </row>
    <row r="226" spans="1:9" x14ac:dyDescent="0.25">
      <c r="A226" t="s">
        <v>126</v>
      </c>
      <c r="B226" t="s">
        <v>91</v>
      </c>
      <c r="C226" t="s">
        <v>5</v>
      </c>
      <c r="D226" t="s">
        <v>77</v>
      </c>
      <c r="E226">
        <v>99.01</v>
      </c>
      <c r="F226" t="s">
        <v>55</v>
      </c>
      <c r="G226">
        <v>0.66</v>
      </c>
      <c r="H226">
        <v>18.21</v>
      </c>
      <c r="I226" t="b">
        <v>0</v>
      </c>
    </row>
    <row r="227" spans="1:9" x14ac:dyDescent="0.25">
      <c r="A227" t="s">
        <v>126</v>
      </c>
      <c r="B227" t="s">
        <v>4</v>
      </c>
      <c r="C227" t="s">
        <v>3</v>
      </c>
      <c r="D227" t="s">
        <v>4</v>
      </c>
      <c r="E227">
        <v>99.02</v>
      </c>
      <c r="F227" t="s">
        <v>2</v>
      </c>
      <c r="G227">
        <v>0.96</v>
      </c>
      <c r="H227">
        <v>32.25</v>
      </c>
      <c r="I227" t="b">
        <v>1</v>
      </c>
    </row>
    <row r="228" spans="1:9" x14ac:dyDescent="0.25">
      <c r="A228" t="s">
        <v>127</v>
      </c>
      <c r="B228" t="s">
        <v>4</v>
      </c>
      <c r="C228" t="s">
        <v>5</v>
      </c>
      <c r="D228" t="s">
        <v>4</v>
      </c>
      <c r="E228">
        <v>99.13</v>
      </c>
      <c r="F228" t="s">
        <v>2</v>
      </c>
      <c r="G228">
        <v>0.87</v>
      </c>
      <c r="H228">
        <v>23.92</v>
      </c>
      <c r="I228" t="b">
        <v>1</v>
      </c>
    </row>
    <row r="229" spans="1:9" x14ac:dyDescent="0.25">
      <c r="A229" t="s">
        <v>127</v>
      </c>
      <c r="B229" t="s">
        <v>18</v>
      </c>
      <c r="C229" t="s">
        <v>5</v>
      </c>
      <c r="D229" t="s">
        <v>8</v>
      </c>
      <c r="E229">
        <v>99.14</v>
      </c>
      <c r="F229" t="s">
        <v>26</v>
      </c>
      <c r="G229">
        <v>0.52</v>
      </c>
      <c r="H229">
        <v>18.46</v>
      </c>
      <c r="I229" t="b">
        <v>0</v>
      </c>
    </row>
    <row r="230" spans="1:9" x14ac:dyDescent="0.25">
      <c r="A230" t="s">
        <v>14</v>
      </c>
      <c r="B230" t="s">
        <v>7</v>
      </c>
      <c r="C230" t="s">
        <v>5</v>
      </c>
      <c r="D230" t="s">
        <v>7</v>
      </c>
      <c r="E230">
        <v>99.2</v>
      </c>
      <c r="F230" t="s">
        <v>13</v>
      </c>
      <c r="G230">
        <v>0.32</v>
      </c>
      <c r="H230">
        <v>16.29</v>
      </c>
      <c r="I230" t="b">
        <v>1</v>
      </c>
    </row>
    <row r="231" spans="1:9" x14ac:dyDescent="0.25">
      <c r="A231" t="s">
        <v>14</v>
      </c>
      <c r="B231" t="s">
        <v>26</v>
      </c>
      <c r="C231" t="s">
        <v>3</v>
      </c>
      <c r="D231" t="s">
        <v>26</v>
      </c>
      <c r="E231">
        <v>99.2</v>
      </c>
      <c r="F231" t="s">
        <v>18</v>
      </c>
      <c r="G231">
        <v>0.79</v>
      </c>
      <c r="H231">
        <v>30.9</v>
      </c>
      <c r="I231" t="b">
        <v>1</v>
      </c>
    </row>
    <row r="232" spans="1:9" x14ac:dyDescent="0.25">
      <c r="A232" t="s">
        <v>128</v>
      </c>
      <c r="B232" t="s">
        <v>13</v>
      </c>
      <c r="C232" t="s">
        <v>5</v>
      </c>
      <c r="D232" t="s">
        <v>21</v>
      </c>
      <c r="E232">
        <v>99.23</v>
      </c>
      <c r="F232" t="s">
        <v>13</v>
      </c>
      <c r="G232">
        <v>0.52</v>
      </c>
      <c r="H232">
        <v>15.43</v>
      </c>
      <c r="I232" t="b">
        <v>0</v>
      </c>
    </row>
    <row r="233" spans="1:9" x14ac:dyDescent="0.25">
      <c r="A233" t="s">
        <v>128</v>
      </c>
      <c r="B233" t="s">
        <v>77</v>
      </c>
      <c r="C233" t="s">
        <v>3</v>
      </c>
      <c r="D233" t="s">
        <v>55</v>
      </c>
      <c r="E233">
        <v>99.26</v>
      </c>
      <c r="F233" t="s">
        <v>77</v>
      </c>
      <c r="G233">
        <v>0.69</v>
      </c>
      <c r="H233">
        <v>28.38</v>
      </c>
      <c r="I233" t="b">
        <v>0</v>
      </c>
    </row>
    <row r="234" spans="1:9" x14ac:dyDescent="0.25">
      <c r="A234" t="s">
        <v>129</v>
      </c>
      <c r="B234" t="s">
        <v>39</v>
      </c>
      <c r="C234" t="s">
        <v>5</v>
      </c>
      <c r="D234" t="s">
        <v>39</v>
      </c>
      <c r="E234">
        <v>99.32</v>
      </c>
      <c r="F234" t="s">
        <v>35</v>
      </c>
      <c r="G234">
        <v>0.6</v>
      </c>
      <c r="H234">
        <v>15.23</v>
      </c>
      <c r="I234" t="b">
        <v>1</v>
      </c>
    </row>
    <row r="235" spans="1:9" x14ac:dyDescent="0.25">
      <c r="A235" t="s">
        <v>129</v>
      </c>
      <c r="B235" t="s">
        <v>18</v>
      </c>
      <c r="C235" t="s">
        <v>3</v>
      </c>
      <c r="D235" t="s">
        <v>18</v>
      </c>
      <c r="E235">
        <v>99.5</v>
      </c>
      <c r="F235" t="s">
        <v>45</v>
      </c>
      <c r="G235">
        <v>0.26</v>
      </c>
      <c r="H235">
        <v>25.42</v>
      </c>
      <c r="I235" t="b">
        <v>1</v>
      </c>
    </row>
    <row r="236" spans="1:9" x14ac:dyDescent="0.25">
      <c r="A236" t="s">
        <v>130</v>
      </c>
      <c r="B236" t="s">
        <v>55</v>
      </c>
      <c r="C236" t="s">
        <v>5</v>
      </c>
      <c r="D236" t="s">
        <v>55</v>
      </c>
      <c r="E236">
        <v>99.51</v>
      </c>
      <c r="F236" t="s">
        <v>16</v>
      </c>
      <c r="G236">
        <v>0.27</v>
      </c>
      <c r="H236">
        <v>15.62</v>
      </c>
      <c r="I236" t="b">
        <v>1</v>
      </c>
    </row>
    <row r="237" spans="1:9" x14ac:dyDescent="0.25">
      <c r="A237" t="s">
        <v>130</v>
      </c>
      <c r="B237" t="s">
        <v>21</v>
      </c>
      <c r="C237" t="s">
        <v>3</v>
      </c>
      <c r="D237" t="s">
        <v>13</v>
      </c>
      <c r="E237">
        <v>99.52</v>
      </c>
      <c r="F237" t="s">
        <v>21</v>
      </c>
      <c r="G237">
        <v>0.41</v>
      </c>
      <c r="H237">
        <v>33.68</v>
      </c>
      <c r="I237" t="b">
        <v>0</v>
      </c>
    </row>
    <row r="238" spans="1:9" x14ac:dyDescent="0.25">
      <c r="A238" t="s">
        <v>131</v>
      </c>
      <c r="B238" t="s">
        <v>77</v>
      </c>
      <c r="C238" t="s">
        <v>5</v>
      </c>
      <c r="D238" t="s">
        <v>77</v>
      </c>
      <c r="E238">
        <v>99.53</v>
      </c>
      <c r="F238" t="s">
        <v>55</v>
      </c>
      <c r="G238">
        <v>0.44</v>
      </c>
      <c r="H238">
        <v>15.19</v>
      </c>
      <c r="I238" t="b">
        <v>1</v>
      </c>
    </row>
    <row r="239" spans="1:9" x14ac:dyDescent="0.25">
      <c r="A239" t="s">
        <v>131</v>
      </c>
      <c r="B239" t="s">
        <v>2</v>
      </c>
      <c r="C239" t="s">
        <v>3</v>
      </c>
      <c r="D239" t="s">
        <v>2</v>
      </c>
      <c r="E239">
        <v>99.56</v>
      </c>
      <c r="F239" t="s">
        <v>18</v>
      </c>
      <c r="G239">
        <v>0.23</v>
      </c>
      <c r="H239">
        <v>28.44</v>
      </c>
      <c r="I239" t="b">
        <v>1</v>
      </c>
    </row>
    <row r="240" spans="1:9" x14ac:dyDescent="0.25">
      <c r="A240" t="s">
        <v>132</v>
      </c>
      <c r="B240" t="s">
        <v>77</v>
      </c>
      <c r="C240" t="s">
        <v>3</v>
      </c>
      <c r="D240" t="s">
        <v>55</v>
      </c>
      <c r="E240">
        <v>99.57</v>
      </c>
      <c r="F240" t="s">
        <v>68</v>
      </c>
      <c r="G240">
        <v>0.2</v>
      </c>
      <c r="H240">
        <v>25.53</v>
      </c>
      <c r="I240" t="b">
        <v>0</v>
      </c>
    </row>
    <row r="241" spans="1:9" x14ac:dyDescent="0.25">
      <c r="A241" t="s">
        <v>132</v>
      </c>
      <c r="B241" t="s">
        <v>45</v>
      </c>
      <c r="C241" t="s">
        <v>3</v>
      </c>
      <c r="D241" t="s">
        <v>18</v>
      </c>
      <c r="E241">
        <v>99.59</v>
      </c>
      <c r="F241" t="s">
        <v>12</v>
      </c>
      <c r="G241">
        <v>0.33</v>
      </c>
      <c r="H241">
        <v>30.38</v>
      </c>
      <c r="I241" t="b">
        <v>0</v>
      </c>
    </row>
    <row r="242" spans="1:9" x14ac:dyDescent="0.25">
      <c r="A242" t="s">
        <v>133</v>
      </c>
      <c r="B242" t="s">
        <v>55</v>
      </c>
      <c r="C242" t="s">
        <v>3</v>
      </c>
      <c r="D242" t="s">
        <v>55</v>
      </c>
      <c r="E242">
        <v>99.62</v>
      </c>
      <c r="F242" t="s">
        <v>16</v>
      </c>
      <c r="G242">
        <v>0.21</v>
      </c>
      <c r="H242">
        <v>27.75</v>
      </c>
      <c r="I242" t="b">
        <v>1</v>
      </c>
    </row>
    <row r="243" spans="1:9" x14ac:dyDescent="0.25">
      <c r="A243" t="s">
        <v>133</v>
      </c>
      <c r="B243" t="s">
        <v>21</v>
      </c>
      <c r="C243" t="s">
        <v>3</v>
      </c>
      <c r="D243" t="s">
        <v>21</v>
      </c>
      <c r="E243">
        <v>99.63</v>
      </c>
      <c r="F243" t="s">
        <v>13</v>
      </c>
      <c r="G243">
        <v>0.36</v>
      </c>
      <c r="H243">
        <v>25.55</v>
      </c>
      <c r="I243" t="b">
        <v>1</v>
      </c>
    </row>
    <row r="244" spans="1:9" x14ac:dyDescent="0.25">
      <c r="A244" t="s">
        <v>134</v>
      </c>
      <c r="B244" t="s">
        <v>56</v>
      </c>
      <c r="C244" t="s">
        <v>5</v>
      </c>
      <c r="D244" t="s">
        <v>56</v>
      </c>
      <c r="E244">
        <v>99.63</v>
      </c>
      <c r="F244" t="s">
        <v>77</v>
      </c>
      <c r="G244">
        <v>0.24</v>
      </c>
      <c r="H244">
        <v>17.8</v>
      </c>
      <c r="I244" t="b">
        <v>1</v>
      </c>
    </row>
    <row r="245" spans="1:9" x14ac:dyDescent="0.25">
      <c r="A245" t="s">
        <v>134</v>
      </c>
      <c r="B245" t="s">
        <v>55</v>
      </c>
      <c r="C245" t="s">
        <v>3</v>
      </c>
      <c r="D245" t="s">
        <v>55</v>
      </c>
      <c r="E245">
        <v>99.63</v>
      </c>
      <c r="F245" t="s">
        <v>56</v>
      </c>
      <c r="G245">
        <v>0.32</v>
      </c>
      <c r="H245">
        <v>34.630000000000003</v>
      </c>
      <c r="I245" t="b">
        <v>1</v>
      </c>
    </row>
    <row r="246" spans="1:9" x14ac:dyDescent="0.25">
      <c r="A246" t="s">
        <v>135</v>
      </c>
      <c r="B246" t="s">
        <v>91</v>
      </c>
      <c r="C246" t="s">
        <v>3</v>
      </c>
      <c r="D246" t="s">
        <v>91</v>
      </c>
      <c r="E246">
        <v>99.64</v>
      </c>
      <c r="F246" t="s">
        <v>55</v>
      </c>
      <c r="G246">
        <v>0.19</v>
      </c>
      <c r="H246">
        <v>30.06</v>
      </c>
      <c r="I246" t="b">
        <v>1</v>
      </c>
    </row>
    <row r="247" spans="1:9" x14ac:dyDescent="0.25">
      <c r="A247" t="s">
        <v>135</v>
      </c>
      <c r="B247" t="s">
        <v>16</v>
      </c>
      <c r="C247" t="s">
        <v>5</v>
      </c>
      <c r="D247" t="s">
        <v>16</v>
      </c>
      <c r="E247">
        <v>99.67</v>
      </c>
      <c r="F247" t="s">
        <v>35</v>
      </c>
      <c r="G247">
        <v>0.19</v>
      </c>
      <c r="H247">
        <v>16.600000000000001</v>
      </c>
      <c r="I247" t="b">
        <v>1</v>
      </c>
    </row>
    <row r="248" spans="1:9" x14ac:dyDescent="0.25">
      <c r="A248" t="s">
        <v>136</v>
      </c>
      <c r="B248" t="s">
        <v>2</v>
      </c>
      <c r="C248" t="s">
        <v>5</v>
      </c>
      <c r="D248" t="s">
        <v>2</v>
      </c>
      <c r="E248">
        <v>99.68</v>
      </c>
      <c r="F248" t="s">
        <v>8</v>
      </c>
      <c r="G248">
        <v>0.27</v>
      </c>
      <c r="H248">
        <v>21.58</v>
      </c>
      <c r="I248" t="b">
        <v>1</v>
      </c>
    </row>
    <row r="249" spans="1:9" x14ac:dyDescent="0.25">
      <c r="A249" t="s">
        <v>136</v>
      </c>
      <c r="B249" t="s">
        <v>16</v>
      </c>
      <c r="C249" t="s">
        <v>3</v>
      </c>
      <c r="D249" t="s">
        <v>16</v>
      </c>
      <c r="E249">
        <v>99.72</v>
      </c>
      <c r="F249" t="s">
        <v>26</v>
      </c>
      <c r="G249">
        <v>0.25</v>
      </c>
      <c r="H249">
        <v>32.049999999999997</v>
      </c>
      <c r="I249" t="b">
        <v>1</v>
      </c>
    </row>
    <row r="250" spans="1:9" x14ac:dyDescent="0.25">
      <c r="A250" t="s">
        <v>137</v>
      </c>
      <c r="B250" t="s">
        <v>12</v>
      </c>
      <c r="C250" t="s">
        <v>5</v>
      </c>
      <c r="D250" t="s">
        <v>7</v>
      </c>
      <c r="E250">
        <v>99.73</v>
      </c>
      <c r="F250" t="s">
        <v>13</v>
      </c>
      <c r="G250">
        <v>0.16</v>
      </c>
      <c r="H250">
        <v>19.39</v>
      </c>
      <c r="I250" t="b">
        <v>0</v>
      </c>
    </row>
    <row r="251" spans="1:9" x14ac:dyDescent="0.25">
      <c r="A251" t="s">
        <v>137</v>
      </c>
      <c r="B251" t="s">
        <v>35</v>
      </c>
      <c r="C251" t="s">
        <v>5</v>
      </c>
      <c r="D251" t="s">
        <v>35</v>
      </c>
      <c r="E251">
        <v>99.78</v>
      </c>
      <c r="F251" t="s">
        <v>39</v>
      </c>
      <c r="G251">
        <v>0.22</v>
      </c>
      <c r="H251">
        <v>16.579999999999998</v>
      </c>
      <c r="I251" t="b">
        <v>1</v>
      </c>
    </row>
    <row r="252" spans="1:9" x14ac:dyDescent="0.25">
      <c r="A252" t="s">
        <v>138</v>
      </c>
      <c r="B252" t="s">
        <v>55</v>
      </c>
      <c r="C252" t="s">
        <v>5</v>
      </c>
      <c r="D252" t="s">
        <v>55</v>
      </c>
      <c r="E252">
        <v>99.78</v>
      </c>
      <c r="F252" t="s">
        <v>68</v>
      </c>
      <c r="G252">
        <v>0.2</v>
      </c>
      <c r="H252">
        <v>15.53</v>
      </c>
      <c r="I252" t="b">
        <v>1</v>
      </c>
    </row>
    <row r="253" spans="1:9" x14ac:dyDescent="0.25">
      <c r="A253" t="s">
        <v>138</v>
      </c>
      <c r="B253" t="s">
        <v>4</v>
      </c>
      <c r="C253" t="s">
        <v>3</v>
      </c>
      <c r="D253" t="s">
        <v>4</v>
      </c>
      <c r="E253">
        <v>99.8</v>
      </c>
      <c r="F253" t="s">
        <v>39</v>
      </c>
      <c r="G253">
        <v>0.13</v>
      </c>
      <c r="H253">
        <v>30.25</v>
      </c>
      <c r="I253" t="b">
        <v>1</v>
      </c>
    </row>
    <row r="254" spans="1:9" x14ac:dyDescent="0.25">
      <c r="A254" t="s">
        <v>139</v>
      </c>
      <c r="B254" t="s">
        <v>35</v>
      </c>
      <c r="C254" t="s">
        <v>3</v>
      </c>
      <c r="D254" t="s">
        <v>39</v>
      </c>
      <c r="E254">
        <v>99.82</v>
      </c>
      <c r="F254" t="s">
        <v>26</v>
      </c>
      <c r="G254">
        <v>0.16</v>
      </c>
      <c r="H254">
        <v>30.95</v>
      </c>
      <c r="I254" t="b">
        <v>0</v>
      </c>
    </row>
    <row r="255" spans="1:9" x14ac:dyDescent="0.25">
      <c r="A255" t="s">
        <v>139</v>
      </c>
      <c r="B255" t="s">
        <v>35</v>
      </c>
      <c r="C255" t="s">
        <v>5</v>
      </c>
      <c r="D255" t="s">
        <v>39</v>
      </c>
      <c r="E255">
        <v>99.82</v>
      </c>
      <c r="F255" t="s">
        <v>35</v>
      </c>
      <c r="G255">
        <v>0.17</v>
      </c>
      <c r="H255">
        <v>14.62</v>
      </c>
      <c r="I255" t="b">
        <v>0</v>
      </c>
    </row>
    <row r="256" spans="1:9" x14ac:dyDescent="0.25">
      <c r="A256" t="s">
        <v>140</v>
      </c>
      <c r="B256" t="s">
        <v>56</v>
      </c>
      <c r="C256" t="s">
        <v>3</v>
      </c>
      <c r="D256" t="s">
        <v>56</v>
      </c>
      <c r="E256">
        <v>99.84</v>
      </c>
      <c r="F256" t="s">
        <v>77</v>
      </c>
      <c r="G256">
        <v>0.14000000000000001</v>
      </c>
      <c r="H256">
        <v>26.17</v>
      </c>
      <c r="I256" t="b">
        <v>1</v>
      </c>
    </row>
    <row r="257" spans="1:9" x14ac:dyDescent="0.25">
      <c r="A257" t="s">
        <v>140</v>
      </c>
      <c r="B257" t="s">
        <v>26</v>
      </c>
      <c r="C257" t="s">
        <v>5</v>
      </c>
      <c r="D257" t="s">
        <v>26</v>
      </c>
      <c r="E257">
        <v>99.85</v>
      </c>
      <c r="F257" t="s">
        <v>7</v>
      </c>
      <c r="G257">
        <v>0.06</v>
      </c>
      <c r="H257">
        <v>15.48</v>
      </c>
      <c r="I257" t="b">
        <v>1</v>
      </c>
    </row>
    <row r="258" spans="1:9" x14ac:dyDescent="0.25">
      <c r="A258" t="s">
        <v>141</v>
      </c>
      <c r="B258" t="s">
        <v>56</v>
      </c>
      <c r="C258" t="s">
        <v>5</v>
      </c>
      <c r="D258" t="s">
        <v>56</v>
      </c>
      <c r="E258">
        <v>99.86</v>
      </c>
      <c r="F258" t="s">
        <v>77</v>
      </c>
      <c r="G258">
        <v>0.14000000000000001</v>
      </c>
      <c r="H258">
        <v>15.83</v>
      </c>
      <c r="I258" t="b">
        <v>1</v>
      </c>
    </row>
    <row r="259" spans="1:9" x14ac:dyDescent="0.25">
      <c r="A259" t="s">
        <v>141</v>
      </c>
      <c r="B259" t="s">
        <v>8</v>
      </c>
      <c r="C259" t="s">
        <v>3</v>
      </c>
      <c r="D259" t="s">
        <v>8</v>
      </c>
      <c r="E259">
        <v>99.86</v>
      </c>
      <c r="F259" t="s">
        <v>45</v>
      </c>
      <c r="G259">
        <v>0.14000000000000001</v>
      </c>
      <c r="H259">
        <v>33.81</v>
      </c>
      <c r="I259" t="b">
        <v>1</v>
      </c>
    </row>
    <row r="260" spans="1:9" x14ac:dyDescent="0.25">
      <c r="A260" t="s">
        <v>14</v>
      </c>
      <c r="B260" t="s">
        <v>2</v>
      </c>
      <c r="C260" t="s">
        <v>3</v>
      </c>
      <c r="D260" t="s">
        <v>2</v>
      </c>
      <c r="E260">
        <v>99.88</v>
      </c>
      <c r="F260" t="s">
        <v>4</v>
      </c>
      <c r="G260">
        <v>7.0000000000000007E-2</v>
      </c>
      <c r="H260">
        <v>32.83</v>
      </c>
      <c r="I260" t="b">
        <v>1</v>
      </c>
    </row>
    <row r="261" spans="1:9" x14ac:dyDescent="0.25">
      <c r="A261" t="s">
        <v>14</v>
      </c>
      <c r="B261" t="s">
        <v>55</v>
      </c>
      <c r="C261" t="s">
        <v>3</v>
      </c>
      <c r="D261" t="s">
        <v>55</v>
      </c>
      <c r="E261">
        <v>99.88</v>
      </c>
      <c r="F261" t="s">
        <v>77</v>
      </c>
      <c r="G261">
        <v>0.1</v>
      </c>
      <c r="H261">
        <v>32.869999999999997</v>
      </c>
      <c r="I261" t="b">
        <v>1</v>
      </c>
    </row>
    <row r="262" spans="1:9" x14ac:dyDescent="0.25">
      <c r="A262" t="s">
        <v>142</v>
      </c>
      <c r="B262" t="s">
        <v>8</v>
      </c>
      <c r="C262" t="s">
        <v>3</v>
      </c>
      <c r="D262" t="s">
        <v>8</v>
      </c>
      <c r="E262">
        <v>99.88</v>
      </c>
      <c r="F262" t="s">
        <v>45</v>
      </c>
      <c r="G262">
        <v>0.12</v>
      </c>
      <c r="H262">
        <v>28.93</v>
      </c>
      <c r="I262" t="b">
        <v>1</v>
      </c>
    </row>
    <row r="263" spans="1:9" x14ac:dyDescent="0.25">
      <c r="A263" t="s">
        <v>142</v>
      </c>
      <c r="B263" t="s">
        <v>18</v>
      </c>
      <c r="C263" t="s">
        <v>5</v>
      </c>
      <c r="D263" t="s">
        <v>18</v>
      </c>
      <c r="E263">
        <v>99.89</v>
      </c>
      <c r="F263" t="s">
        <v>7</v>
      </c>
      <c r="G263">
        <v>0.08</v>
      </c>
      <c r="H263">
        <v>15.69</v>
      </c>
      <c r="I263" t="b">
        <v>1</v>
      </c>
    </row>
    <row r="264" spans="1:9" x14ac:dyDescent="0.25">
      <c r="A264" t="s">
        <v>143</v>
      </c>
      <c r="B264" t="s">
        <v>12</v>
      </c>
      <c r="C264" t="s">
        <v>5</v>
      </c>
      <c r="D264" t="s">
        <v>12</v>
      </c>
      <c r="E264">
        <v>99.89</v>
      </c>
      <c r="F264" t="s">
        <v>18</v>
      </c>
      <c r="G264">
        <v>0.1</v>
      </c>
      <c r="H264">
        <v>14.74</v>
      </c>
      <c r="I264" t="b">
        <v>1</v>
      </c>
    </row>
    <row r="265" spans="1:9" x14ac:dyDescent="0.25">
      <c r="A265" t="s">
        <v>143</v>
      </c>
      <c r="B265" t="s">
        <v>13</v>
      </c>
      <c r="C265" t="s">
        <v>3</v>
      </c>
      <c r="D265" t="s">
        <v>13</v>
      </c>
      <c r="E265">
        <v>99.9</v>
      </c>
      <c r="F265" t="s">
        <v>21</v>
      </c>
      <c r="G265">
        <v>0.1</v>
      </c>
      <c r="H265">
        <v>27.64</v>
      </c>
      <c r="I265" t="b">
        <v>1</v>
      </c>
    </row>
    <row r="266" spans="1:9" x14ac:dyDescent="0.25">
      <c r="A266" t="s">
        <v>144</v>
      </c>
      <c r="B266" t="s">
        <v>68</v>
      </c>
      <c r="C266" t="s">
        <v>3</v>
      </c>
      <c r="D266" t="s">
        <v>68</v>
      </c>
      <c r="E266">
        <v>99.9</v>
      </c>
      <c r="F266" t="s">
        <v>55</v>
      </c>
      <c r="G266">
        <v>0.05</v>
      </c>
      <c r="H266">
        <v>26.01</v>
      </c>
      <c r="I266" t="b">
        <v>1</v>
      </c>
    </row>
    <row r="267" spans="1:9" x14ac:dyDescent="0.25">
      <c r="A267" t="s">
        <v>144</v>
      </c>
      <c r="B267" t="s">
        <v>45</v>
      </c>
      <c r="C267" t="s">
        <v>5</v>
      </c>
      <c r="D267" t="s">
        <v>45</v>
      </c>
      <c r="E267">
        <v>99.9</v>
      </c>
      <c r="F267" t="s">
        <v>26</v>
      </c>
      <c r="G267">
        <v>0.06</v>
      </c>
      <c r="H267">
        <v>14.75</v>
      </c>
      <c r="I267" t="b">
        <v>1</v>
      </c>
    </row>
    <row r="268" spans="1:9" x14ac:dyDescent="0.25">
      <c r="A268" t="s">
        <v>145</v>
      </c>
      <c r="B268" t="s">
        <v>39</v>
      </c>
      <c r="C268" t="s">
        <v>3</v>
      </c>
      <c r="D268" t="s">
        <v>39</v>
      </c>
      <c r="E268">
        <v>99.91</v>
      </c>
      <c r="F268" t="s">
        <v>35</v>
      </c>
      <c r="G268">
        <v>0.08</v>
      </c>
      <c r="H268">
        <v>28.65</v>
      </c>
      <c r="I268" t="b">
        <v>1</v>
      </c>
    </row>
    <row r="269" spans="1:9" x14ac:dyDescent="0.25">
      <c r="A269" t="s">
        <v>145</v>
      </c>
      <c r="B269" t="s">
        <v>16</v>
      </c>
      <c r="C269" t="s">
        <v>5</v>
      </c>
      <c r="D269" t="s">
        <v>16</v>
      </c>
      <c r="E269">
        <v>99.92</v>
      </c>
      <c r="F269" t="s">
        <v>68</v>
      </c>
      <c r="G269">
        <v>0.05</v>
      </c>
      <c r="H269">
        <v>19.75</v>
      </c>
      <c r="I269" t="b">
        <v>1</v>
      </c>
    </row>
    <row r="270" spans="1:9" x14ac:dyDescent="0.25">
      <c r="A270" t="s">
        <v>146</v>
      </c>
      <c r="B270" t="s">
        <v>8</v>
      </c>
      <c r="C270" t="s">
        <v>3</v>
      </c>
      <c r="D270" t="s">
        <v>8</v>
      </c>
      <c r="E270">
        <v>99.92</v>
      </c>
      <c r="F270" t="s">
        <v>2</v>
      </c>
      <c r="G270">
        <v>0.06</v>
      </c>
      <c r="H270">
        <v>29.44</v>
      </c>
      <c r="I270" t="b">
        <v>1</v>
      </c>
    </row>
    <row r="271" spans="1:9" x14ac:dyDescent="0.25">
      <c r="A271" t="s">
        <v>146</v>
      </c>
      <c r="B271" t="s">
        <v>7</v>
      </c>
      <c r="C271" t="s">
        <v>3</v>
      </c>
      <c r="D271" t="s">
        <v>7</v>
      </c>
      <c r="E271">
        <v>99.93</v>
      </c>
      <c r="F271" t="s">
        <v>21</v>
      </c>
      <c r="G271">
        <v>0.06</v>
      </c>
      <c r="H271">
        <v>38.31</v>
      </c>
      <c r="I271" t="b">
        <v>1</v>
      </c>
    </row>
    <row r="272" spans="1:9" x14ac:dyDescent="0.25">
      <c r="A272" t="s">
        <v>147</v>
      </c>
      <c r="B272" t="s">
        <v>16</v>
      </c>
      <c r="C272" t="s">
        <v>5</v>
      </c>
      <c r="D272" t="s">
        <v>16</v>
      </c>
      <c r="E272">
        <v>99.93</v>
      </c>
      <c r="F272" t="s">
        <v>55</v>
      </c>
      <c r="G272">
        <v>0.03</v>
      </c>
      <c r="H272">
        <v>15.15</v>
      </c>
      <c r="I272" t="b">
        <v>1</v>
      </c>
    </row>
    <row r="273" spans="1:9" x14ac:dyDescent="0.25">
      <c r="A273" t="s">
        <v>147</v>
      </c>
      <c r="B273" t="s">
        <v>55</v>
      </c>
      <c r="C273" t="s">
        <v>3</v>
      </c>
      <c r="D273" t="s">
        <v>55</v>
      </c>
      <c r="E273">
        <v>99.93</v>
      </c>
      <c r="F273" t="s">
        <v>68</v>
      </c>
      <c r="G273">
        <v>0.03</v>
      </c>
      <c r="H273">
        <v>28.67</v>
      </c>
      <c r="I273" t="b">
        <v>1</v>
      </c>
    </row>
    <row r="274" spans="1:9" x14ac:dyDescent="0.25">
      <c r="A274" t="s">
        <v>148</v>
      </c>
      <c r="B274" t="s">
        <v>55</v>
      </c>
      <c r="C274" t="s">
        <v>5</v>
      </c>
      <c r="D274" t="s">
        <v>55</v>
      </c>
      <c r="E274">
        <v>99.93</v>
      </c>
      <c r="F274" t="s">
        <v>77</v>
      </c>
      <c r="G274">
        <v>0.05</v>
      </c>
      <c r="H274">
        <v>15.21</v>
      </c>
      <c r="I274" t="b">
        <v>1</v>
      </c>
    </row>
    <row r="275" spans="1:9" x14ac:dyDescent="0.25">
      <c r="A275" t="s">
        <v>148</v>
      </c>
      <c r="B275" t="s">
        <v>56</v>
      </c>
      <c r="C275" t="s">
        <v>5</v>
      </c>
      <c r="D275" t="s">
        <v>56</v>
      </c>
      <c r="E275">
        <v>99.94</v>
      </c>
      <c r="F275" t="s">
        <v>77</v>
      </c>
      <c r="G275">
        <v>0.06</v>
      </c>
      <c r="H275">
        <v>16.059999999999999</v>
      </c>
      <c r="I275" t="b">
        <v>1</v>
      </c>
    </row>
    <row r="276" spans="1:9" x14ac:dyDescent="0.25">
      <c r="A276" t="s">
        <v>149</v>
      </c>
      <c r="B276" t="s">
        <v>77</v>
      </c>
      <c r="C276" t="s">
        <v>5</v>
      </c>
      <c r="D276" t="s">
        <v>55</v>
      </c>
      <c r="E276">
        <v>99.94</v>
      </c>
      <c r="F276" t="s">
        <v>68</v>
      </c>
      <c r="G276">
        <v>0.03</v>
      </c>
      <c r="H276">
        <v>15.53</v>
      </c>
      <c r="I276" t="b">
        <v>0</v>
      </c>
    </row>
    <row r="277" spans="1:9" x14ac:dyDescent="0.25">
      <c r="A277" t="s">
        <v>149</v>
      </c>
      <c r="B277" t="s">
        <v>8</v>
      </c>
      <c r="C277" t="s">
        <v>5</v>
      </c>
      <c r="D277" t="s">
        <v>8</v>
      </c>
      <c r="E277">
        <v>99.94</v>
      </c>
      <c r="F277" t="s">
        <v>45</v>
      </c>
      <c r="G277">
        <v>0.06</v>
      </c>
      <c r="H277">
        <v>16.41</v>
      </c>
      <c r="I277" t="b">
        <v>1</v>
      </c>
    </row>
    <row r="278" spans="1:9" x14ac:dyDescent="0.25">
      <c r="A278" t="s">
        <v>150</v>
      </c>
      <c r="B278" t="s">
        <v>18</v>
      </c>
      <c r="C278" t="s">
        <v>3</v>
      </c>
      <c r="D278" t="s">
        <v>18</v>
      </c>
      <c r="E278">
        <v>99.95</v>
      </c>
      <c r="F278" t="s">
        <v>7</v>
      </c>
      <c r="G278">
        <v>0.04</v>
      </c>
      <c r="H278">
        <v>26.95</v>
      </c>
      <c r="I278" t="b">
        <v>1</v>
      </c>
    </row>
    <row r="279" spans="1:9" x14ac:dyDescent="0.25">
      <c r="A279" t="s">
        <v>150</v>
      </c>
      <c r="B279" t="s">
        <v>18</v>
      </c>
      <c r="C279" t="s">
        <v>3</v>
      </c>
      <c r="D279" t="s">
        <v>18</v>
      </c>
      <c r="E279">
        <v>99.95</v>
      </c>
      <c r="F279" t="s">
        <v>26</v>
      </c>
      <c r="G279">
        <v>0.03</v>
      </c>
      <c r="H279">
        <v>30.13</v>
      </c>
      <c r="I279" t="b">
        <v>1</v>
      </c>
    </row>
    <row r="280" spans="1:9" x14ac:dyDescent="0.25">
      <c r="A280" t="s">
        <v>151</v>
      </c>
      <c r="B280" t="s">
        <v>18</v>
      </c>
      <c r="C280" t="s">
        <v>3</v>
      </c>
      <c r="D280" t="s">
        <v>18</v>
      </c>
      <c r="E280">
        <v>99.95</v>
      </c>
      <c r="F280" t="s">
        <v>12</v>
      </c>
      <c r="G280">
        <v>0.05</v>
      </c>
      <c r="H280">
        <v>29.71</v>
      </c>
      <c r="I280" t="b">
        <v>1</v>
      </c>
    </row>
    <row r="281" spans="1:9" x14ac:dyDescent="0.25">
      <c r="A281" t="s">
        <v>151</v>
      </c>
      <c r="B281" t="s">
        <v>77</v>
      </c>
      <c r="C281" t="s">
        <v>5</v>
      </c>
      <c r="D281" t="s">
        <v>77</v>
      </c>
      <c r="E281">
        <v>99.95</v>
      </c>
      <c r="F281" t="s">
        <v>55</v>
      </c>
      <c r="G281">
        <v>0.05</v>
      </c>
      <c r="H281">
        <v>15.07</v>
      </c>
      <c r="I281" t="b">
        <v>1</v>
      </c>
    </row>
    <row r="282" spans="1:9" x14ac:dyDescent="0.25">
      <c r="A282" t="s">
        <v>152</v>
      </c>
      <c r="B282" t="s">
        <v>26</v>
      </c>
      <c r="C282" t="s">
        <v>3</v>
      </c>
      <c r="D282" t="s">
        <v>26</v>
      </c>
      <c r="E282">
        <v>99.96</v>
      </c>
      <c r="F282" t="s">
        <v>18</v>
      </c>
      <c r="G282">
        <v>0.03</v>
      </c>
      <c r="H282">
        <v>27.95</v>
      </c>
      <c r="I282" t="b">
        <v>1</v>
      </c>
    </row>
    <row r="283" spans="1:9" x14ac:dyDescent="0.25">
      <c r="A283" t="s">
        <v>152</v>
      </c>
      <c r="B283" t="s">
        <v>21</v>
      </c>
      <c r="C283" t="s">
        <v>5</v>
      </c>
      <c r="D283" t="s">
        <v>21</v>
      </c>
      <c r="E283">
        <v>99.96</v>
      </c>
      <c r="F283" t="s">
        <v>56</v>
      </c>
      <c r="G283">
        <v>0.04</v>
      </c>
      <c r="H283">
        <v>15.21</v>
      </c>
      <c r="I283" t="b">
        <v>1</v>
      </c>
    </row>
    <row r="284" spans="1:9" x14ac:dyDescent="0.25">
      <c r="A284" t="s">
        <v>153</v>
      </c>
      <c r="B284" t="s">
        <v>21</v>
      </c>
      <c r="C284" t="s">
        <v>5</v>
      </c>
      <c r="D284" t="s">
        <v>21</v>
      </c>
      <c r="E284">
        <v>99.96</v>
      </c>
      <c r="F284" t="s">
        <v>13</v>
      </c>
      <c r="G284">
        <v>0.04</v>
      </c>
      <c r="H284">
        <v>15.42</v>
      </c>
      <c r="I284" t="b">
        <v>1</v>
      </c>
    </row>
    <row r="285" spans="1:9" x14ac:dyDescent="0.25">
      <c r="A285" t="s">
        <v>153</v>
      </c>
      <c r="B285" t="s">
        <v>77</v>
      </c>
      <c r="C285" t="s">
        <v>5</v>
      </c>
      <c r="D285" t="s">
        <v>77</v>
      </c>
      <c r="E285">
        <v>99.96</v>
      </c>
      <c r="F285" t="s">
        <v>55</v>
      </c>
      <c r="G285">
        <v>0.04</v>
      </c>
      <c r="H285">
        <v>19.239999999999998</v>
      </c>
      <c r="I285" t="b">
        <v>1</v>
      </c>
    </row>
    <row r="286" spans="1:9" x14ac:dyDescent="0.25">
      <c r="A286" t="s">
        <v>154</v>
      </c>
      <c r="B286" t="s">
        <v>45</v>
      </c>
      <c r="C286" t="s">
        <v>3</v>
      </c>
      <c r="D286" t="s">
        <v>45</v>
      </c>
      <c r="E286">
        <v>99.96</v>
      </c>
      <c r="F286" t="s">
        <v>18</v>
      </c>
      <c r="G286">
        <v>0.02</v>
      </c>
      <c r="H286">
        <v>36.46</v>
      </c>
      <c r="I286" t="b">
        <v>1</v>
      </c>
    </row>
    <row r="287" spans="1:9" x14ac:dyDescent="0.25">
      <c r="A287" t="s">
        <v>154</v>
      </c>
      <c r="B287" t="s">
        <v>45</v>
      </c>
      <c r="C287" t="s">
        <v>3</v>
      </c>
      <c r="D287" t="s">
        <v>45</v>
      </c>
      <c r="E287">
        <v>99.96</v>
      </c>
      <c r="F287" t="s">
        <v>26</v>
      </c>
      <c r="G287">
        <v>0.03</v>
      </c>
      <c r="H287">
        <v>27.4</v>
      </c>
      <c r="I287" t="b">
        <v>1</v>
      </c>
    </row>
    <row r="288" spans="1:9" x14ac:dyDescent="0.25">
      <c r="A288" t="s">
        <v>155</v>
      </c>
      <c r="B288" t="s">
        <v>55</v>
      </c>
      <c r="C288" t="s">
        <v>5</v>
      </c>
      <c r="D288" t="s">
        <v>55</v>
      </c>
      <c r="E288">
        <v>99.96</v>
      </c>
      <c r="F288" t="s">
        <v>16</v>
      </c>
      <c r="G288">
        <v>0.04</v>
      </c>
      <c r="H288">
        <v>15.26</v>
      </c>
      <c r="I288" t="b">
        <v>1</v>
      </c>
    </row>
    <row r="289" spans="1:9" x14ac:dyDescent="0.25">
      <c r="A289" t="s">
        <v>155</v>
      </c>
      <c r="B289" t="s">
        <v>91</v>
      </c>
      <c r="C289" t="s">
        <v>3</v>
      </c>
      <c r="D289" t="s">
        <v>91</v>
      </c>
      <c r="E289">
        <v>99.96</v>
      </c>
      <c r="F289" t="s">
        <v>16</v>
      </c>
      <c r="G289">
        <v>0.02</v>
      </c>
      <c r="H289">
        <v>28.83</v>
      </c>
      <c r="I289" t="b">
        <v>1</v>
      </c>
    </row>
    <row r="290" spans="1:9" x14ac:dyDescent="0.25">
      <c r="A290" t="s">
        <v>156</v>
      </c>
      <c r="B290" t="s">
        <v>21</v>
      </c>
      <c r="C290" t="s">
        <v>3</v>
      </c>
      <c r="D290" t="s">
        <v>21</v>
      </c>
      <c r="E290">
        <v>99.97</v>
      </c>
      <c r="F290" t="s">
        <v>13</v>
      </c>
      <c r="G290">
        <v>0.03</v>
      </c>
      <c r="H290">
        <v>29.05</v>
      </c>
      <c r="I290" t="b">
        <v>1</v>
      </c>
    </row>
    <row r="291" spans="1:9" x14ac:dyDescent="0.25">
      <c r="A291" t="s">
        <v>156</v>
      </c>
      <c r="B291" t="s">
        <v>21</v>
      </c>
      <c r="C291" t="s">
        <v>5</v>
      </c>
      <c r="D291" t="s">
        <v>21</v>
      </c>
      <c r="E291">
        <v>99.97</v>
      </c>
      <c r="F291" t="s">
        <v>7</v>
      </c>
      <c r="G291">
        <v>0.03</v>
      </c>
      <c r="H291">
        <v>15.48</v>
      </c>
      <c r="I291" t="b">
        <v>1</v>
      </c>
    </row>
    <row r="292" spans="1:9" x14ac:dyDescent="0.25">
      <c r="A292" t="s">
        <v>157</v>
      </c>
      <c r="B292" t="s">
        <v>39</v>
      </c>
      <c r="C292" t="s">
        <v>3</v>
      </c>
      <c r="D292" t="s">
        <v>39</v>
      </c>
      <c r="E292">
        <v>99.97</v>
      </c>
      <c r="F292" t="s">
        <v>26</v>
      </c>
      <c r="G292">
        <v>0.03</v>
      </c>
      <c r="H292">
        <v>28.68</v>
      </c>
      <c r="I292" t="b">
        <v>1</v>
      </c>
    </row>
    <row r="293" spans="1:9" x14ac:dyDescent="0.25">
      <c r="A293" t="s">
        <v>157</v>
      </c>
      <c r="B293" t="s">
        <v>21</v>
      </c>
      <c r="C293" t="s">
        <v>3</v>
      </c>
      <c r="D293" t="s">
        <v>21</v>
      </c>
      <c r="E293">
        <v>99.98</v>
      </c>
      <c r="F293" t="s">
        <v>13</v>
      </c>
      <c r="G293">
        <v>0.02</v>
      </c>
      <c r="H293">
        <v>25.74</v>
      </c>
      <c r="I293" t="b">
        <v>1</v>
      </c>
    </row>
    <row r="294" spans="1:9" x14ac:dyDescent="0.25">
      <c r="A294" t="s">
        <v>158</v>
      </c>
      <c r="B294" t="s">
        <v>13</v>
      </c>
      <c r="C294" t="s">
        <v>5</v>
      </c>
      <c r="D294" t="s">
        <v>13</v>
      </c>
      <c r="E294">
        <v>99.98</v>
      </c>
      <c r="F294" t="s">
        <v>21</v>
      </c>
      <c r="G294">
        <v>0.02</v>
      </c>
      <c r="H294">
        <v>15.87</v>
      </c>
      <c r="I294" t="b">
        <v>1</v>
      </c>
    </row>
    <row r="295" spans="1:9" x14ac:dyDescent="0.25">
      <c r="A295" t="s">
        <v>158</v>
      </c>
      <c r="B295" t="s">
        <v>56</v>
      </c>
      <c r="C295" t="s">
        <v>5</v>
      </c>
      <c r="D295" t="s">
        <v>56</v>
      </c>
      <c r="E295">
        <v>99.98</v>
      </c>
      <c r="F295" t="s">
        <v>77</v>
      </c>
      <c r="G295">
        <v>0.02</v>
      </c>
      <c r="H295">
        <v>15.03</v>
      </c>
      <c r="I295" t="b">
        <v>1</v>
      </c>
    </row>
    <row r="296" spans="1:9" x14ac:dyDescent="0.25">
      <c r="A296" t="s">
        <v>159</v>
      </c>
      <c r="B296" t="s">
        <v>39</v>
      </c>
      <c r="C296" t="s">
        <v>3</v>
      </c>
      <c r="D296" t="s">
        <v>39</v>
      </c>
      <c r="E296">
        <v>99.98</v>
      </c>
      <c r="F296" t="s">
        <v>7</v>
      </c>
      <c r="G296">
        <v>0.02</v>
      </c>
      <c r="H296">
        <v>32.659999999999997</v>
      </c>
      <c r="I296" t="b">
        <v>1</v>
      </c>
    </row>
    <row r="297" spans="1:9" x14ac:dyDescent="0.25">
      <c r="A297" t="s">
        <v>159</v>
      </c>
      <c r="B297" t="s">
        <v>26</v>
      </c>
      <c r="C297" t="s">
        <v>3</v>
      </c>
      <c r="D297" t="s">
        <v>26</v>
      </c>
      <c r="E297">
        <v>99.99</v>
      </c>
      <c r="F297" t="s">
        <v>12</v>
      </c>
      <c r="G297">
        <v>0.01</v>
      </c>
      <c r="H297">
        <v>26.7</v>
      </c>
      <c r="I297" t="b">
        <v>1</v>
      </c>
    </row>
    <row r="298" spans="1:9" x14ac:dyDescent="0.25">
      <c r="A298" t="s">
        <v>160</v>
      </c>
      <c r="B298" t="s">
        <v>21</v>
      </c>
      <c r="C298" t="s">
        <v>3</v>
      </c>
      <c r="D298" t="s">
        <v>21</v>
      </c>
      <c r="E298">
        <v>99.99</v>
      </c>
      <c r="F298" t="s">
        <v>13</v>
      </c>
      <c r="G298">
        <v>0.01</v>
      </c>
      <c r="H298">
        <v>25.71</v>
      </c>
      <c r="I298" t="b">
        <v>1</v>
      </c>
    </row>
    <row r="299" spans="1:9" x14ac:dyDescent="0.25">
      <c r="A299" t="s">
        <v>160</v>
      </c>
      <c r="B299" t="s">
        <v>13</v>
      </c>
      <c r="C299" t="s">
        <v>3</v>
      </c>
      <c r="D299" t="s">
        <v>21</v>
      </c>
      <c r="E299">
        <v>99.99</v>
      </c>
      <c r="F299" t="s">
        <v>13</v>
      </c>
      <c r="G299">
        <v>0.01</v>
      </c>
      <c r="H299">
        <v>26.84</v>
      </c>
      <c r="I299" t="b">
        <v>0</v>
      </c>
    </row>
    <row r="300" spans="1:9" x14ac:dyDescent="0.25">
      <c r="A300" t="s">
        <v>161</v>
      </c>
      <c r="B300" t="s">
        <v>16</v>
      </c>
      <c r="C300" t="s">
        <v>3</v>
      </c>
      <c r="D300" t="s">
        <v>16</v>
      </c>
      <c r="E300">
        <v>99.99</v>
      </c>
      <c r="F300" t="s">
        <v>55</v>
      </c>
      <c r="G300">
        <v>0.01</v>
      </c>
      <c r="H300">
        <v>26.7</v>
      </c>
      <c r="I300" t="b">
        <v>1</v>
      </c>
    </row>
    <row r="301" spans="1:9" x14ac:dyDescent="0.25">
      <c r="A301" t="s">
        <v>161</v>
      </c>
      <c r="B301" t="s">
        <v>56</v>
      </c>
      <c r="C301" t="s">
        <v>3</v>
      </c>
      <c r="D301" t="s">
        <v>56</v>
      </c>
      <c r="E301">
        <v>99.99</v>
      </c>
      <c r="F301" t="s">
        <v>77</v>
      </c>
      <c r="G301">
        <v>0.01</v>
      </c>
      <c r="H301">
        <v>26.69</v>
      </c>
      <c r="I301" t="b">
        <v>1</v>
      </c>
    </row>
    <row r="302" spans="1:9" x14ac:dyDescent="0.25">
      <c r="A302" t="s">
        <v>162</v>
      </c>
      <c r="B302" t="s">
        <v>18</v>
      </c>
      <c r="C302" t="s">
        <v>3</v>
      </c>
      <c r="D302" t="s">
        <v>18</v>
      </c>
      <c r="E302">
        <v>99.99</v>
      </c>
      <c r="F302" t="s">
        <v>45</v>
      </c>
      <c r="G302">
        <v>0.01</v>
      </c>
      <c r="H302">
        <v>26.27</v>
      </c>
      <c r="I302" t="b">
        <v>1</v>
      </c>
    </row>
    <row r="303" spans="1:9" x14ac:dyDescent="0.25">
      <c r="A303" t="s">
        <v>162</v>
      </c>
      <c r="B303" t="s">
        <v>68</v>
      </c>
      <c r="C303" t="s">
        <v>3</v>
      </c>
      <c r="D303" t="s">
        <v>68</v>
      </c>
      <c r="E303">
        <v>99.99</v>
      </c>
      <c r="F303" t="s">
        <v>26</v>
      </c>
      <c r="G303">
        <v>0.01</v>
      </c>
      <c r="H303">
        <v>27.81</v>
      </c>
      <c r="I303" t="b">
        <v>1</v>
      </c>
    </row>
    <row r="304" spans="1:9" x14ac:dyDescent="0.25">
      <c r="A304" t="s">
        <v>163</v>
      </c>
      <c r="B304" t="s">
        <v>45</v>
      </c>
      <c r="C304" t="s">
        <v>5</v>
      </c>
      <c r="D304" t="s">
        <v>45</v>
      </c>
      <c r="E304">
        <v>99.99</v>
      </c>
      <c r="F304" t="s">
        <v>8</v>
      </c>
      <c r="G304">
        <v>0</v>
      </c>
      <c r="H304">
        <v>15.36</v>
      </c>
      <c r="I304" t="b">
        <v>1</v>
      </c>
    </row>
    <row r="305" spans="1:9" x14ac:dyDescent="0.25">
      <c r="A305" t="s">
        <v>163</v>
      </c>
      <c r="B305" t="s">
        <v>8</v>
      </c>
      <c r="C305" t="s">
        <v>3</v>
      </c>
      <c r="D305" t="s">
        <v>8</v>
      </c>
      <c r="E305">
        <v>99.99</v>
      </c>
      <c r="F305" t="s">
        <v>45</v>
      </c>
      <c r="G305">
        <v>0.01</v>
      </c>
      <c r="H305">
        <v>27.18</v>
      </c>
      <c r="I305" t="b">
        <v>1</v>
      </c>
    </row>
    <row r="306" spans="1:9" x14ac:dyDescent="0.25">
      <c r="A306" t="s">
        <v>164</v>
      </c>
      <c r="B306" t="s">
        <v>8</v>
      </c>
      <c r="C306" t="s">
        <v>3</v>
      </c>
      <c r="D306" t="s">
        <v>8</v>
      </c>
      <c r="E306">
        <v>99.99</v>
      </c>
      <c r="F306" t="s">
        <v>7</v>
      </c>
      <c r="G306">
        <v>0.01</v>
      </c>
      <c r="H306">
        <v>27.61</v>
      </c>
      <c r="I306" t="b">
        <v>1</v>
      </c>
    </row>
    <row r="307" spans="1:9" x14ac:dyDescent="0.25">
      <c r="A307" t="s">
        <v>164</v>
      </c>
      <c r="B307" t="s">
        <v>2</v>
      </c>
      <c r="C307" t="s">
        <v>3</v>
      </c>
      <c r="D307" t="s">
        <v>2</v>
      </c>
      <c r="E307">
        <v>100</v>
      </c>
      <c r="F307" t="s">
        <v>12</v>
      </c>
      <c r="G307">
        <v>0</v>
      </c>
      <c r="H307">
        <v>31.15</v>
      </c>
      <c r="I307" t="b">
        <v>1</v>
      </c>
    </row>
    <row r="308" spans="1:9" x14ac:dyDescent="0.25">
      <c r="A308" t="s">
        <v>14</v>
      </c>
      <c r="B308" t="s">
        <v>2</v>
      </c>
      <c r="C308" t="s">
        <v>5</v>
      </c>
      <c r="D308" t="s">
        <v>2</v>
      </c>
      <c r="E308">
        <v>100</v>
      </c>
      <c r="F308" t="s">
        <v>13</v>
      </c>
      <c r="G308">
        <v>0</v>
      </c>
      <c r="H308">
        <v>18.36</v>
      </c>
      <c r="I308" t="b">
        <v>1</v>
      </c>
    </row>
    <row r="309" spans="1:9" x14ac:dyDescent="0.25">
      <c r="A309" t="s">
        <v>14</v>
      </c>
      <c r="B309" t="s">
        <v>4</v>
      </c>
      <c r="C309" t="s">
        <v>3</v>
      </c>
      <c r="D309" t="s">
        <v>4</v>
      </c>
      <c r="E309">
        <v>100</v>
      </c>
      <c r="F309" t="s">
        <v>2</v>
      </c>
      <c r="G309">
        <v>0</v>
      </c>
      <c r="H309">
        <v>37.08</v>
      </c>
      <c r="I309" t="b">
        <v>1</v>
      </c>
    </row>
    <row r="310" spans="1:9" x14ac:dyDescent="0.25">
      <c r="A310" t="s">
        <v>165</v>
      </c>
      <c r="B310" t="s">
        <v>4</v>
      </c>
      <c r="C310" t="s">
        <v>3</v>
      </c>
      <c r="D310" t="s">
        <v>4</v>
      </c>
      <c r="E310">
        <v>100</v>
      </c>
      <c r="F310" t="s">
        <v>2</v>
      </c>
      <c r="G310">
        <v>0</v>
      </c>
      <c r="H310">
        <v>26.87</v>
      </c>
      <c r="I310" t="b">
        <v>1</v>
      </c>
    </row>
    <row r="311" spans="1:9" x14ac:dyDescent="0.25">
      <c r="A311" t="s">
        <v>165</v>
      </c>
      <c r="B311" t="s">
        <v>26</v>
      </c>
      <c r="C311" t="s">
        <v>3</v>
      </c>
      <c r="D311" t="s">
        <v>26</v>
      </c>
      <c r="E311">
        <v>100</v>
      </c>
      <c r="F311" t="s">
        <v>18</v>
      </c>
      <c r="G311">
        <v>0</v>
      </c>
      <c r="H311">
        <v>26.68</v>
      </c>
      <c r="I311" t="b">
        <v>1</v>
      </c>
    </row>
    <row r="312" spans="1:9" x14ac:dyDescent="0.25">
      <c r="A312" t="s">
        <v>166</v>
      </c>
      <c r="B312" t="s">
        <v>26</v>
      </c>
      <c r="C312" t="s">
        <v>3</v>
      </c>
      <c r="D312" t="s">
        <v>26</v>
      </c>
      <c r="E312">
        <v>100</v>
      </c>
      <c r="F312" t="s">
        <v>18</v>
      </c>
      <c r="G312">
        <v>0</v>
      </c>
      <c r="H312">
        <v>28.99</v>
      </c>
      <c r="I312" t="b">
        <v>1</v>
      </c>
    </row>
    <row r="313" spans="1:9" x14ac:dyDescent="0.25">
      <c r="A313" t="s">
        <v>166</v>
      </c>
      <c r="B313" t="s">
        <v>26</v>
      </c>
      <c r="C313" t="s">
        <v>3</v>
      </c>
      <c r="D313" t="s">
        <v>26</v>
      </c>
      <c r="E313">
        <v>100</v>
      </c>
      <c r="F313" t="s">
        <v>18</v>
      </c>
      <c r="G313">
        <v>0</v>
      </c>
      <c r="H313">
        <v>28.62</v>
      </c>
      <c r="I313" t="b">
        <v>1</v>
      </c>
    </row>
    <row r="314" spans="1:9" x14ac:dyDescent="0.25">
      <c r="A314" t="s">
        <v>167</v>
      </c>
      <c r="B314" t="s">
        <v>21</v>
      </c>
      <c r="C314" t="s">
        <v>3</v>
      </c>
      <c r="D314" t="s">
        <v>21</v>
      </c>
      <c r="E314">
        <v>100</v>
      </c>
      <c r="F314" t="s">
        <v>13</v>
      </c>
      <c r="G314">
        <v>0</v>
      </c>
      <c r="H314">
        <v>27.58</v>
      </c>
      <c r="I314" t="b">
        <v>1</v>
      </c>
    </row>
    <row r="315" spans="1:9" x14ac:dyDescent="0.25">
      <c r="A315" t="s">
        <v>167</v>
      </c>
      <c r="B315" t="s">
        <v>21</v>
      </c>
      <c r="C315" t="s">
        <v>5</v>
      </c>
      <c r="D315" t="s">
        <v>21</v>
      </c>
      <c r="E315">
        <v>100</v>
      </c>
      <c r="F315" t="s">
        <v>7</v>
      </c>
      <c r="G315">
        <v>0</v>
      </c>
      <c r="H315">
        <v>14.02</v>
      </c>
      <c r="I315" t="b">
        <v>1</v>
      </c>
    </row>
    <row r="316" spans="1:9" x14ac:dyDescent="0.25">
      <c r="A316" t="s">
        <v>168</v>
      </c>
      <c r="B316" t="s">
        <v>21</v>
      </c>
      <c r="C316" t="s">
        <v>5</v>
      </c>
      <c r="D316" t="s">
        <v>21</v>
      </c>
      <c r="E316">
        <v>100</v>
      </c>
      <c r="F316" t="s">
        <v>13</v>
      </c>
      <c r="G316">
        <v>0</v>
      </c>
      <c r="H316">
        <v>15.03</v>
      </c>
      <c r="I316" t="b">
        <v>1</v>
      </c>
    </row>
    <row r="317" spans="1:9" x14ac:dyDescent="0.25">
      <c r="A317" t="s">
        <v>168</v>
      </c>
      <c r="B317" t="s">
        <v>21</v>
      </c>
      <c r="C317" t="s">
        <v>3</v>
      </c>
      <c r="D317" t="s">
        <v>21</v>
      </c>
      <c r="E317">
        <v>100</v>
      </c>
      <c r="F317" t="s">
        <v>13</v>
      </c>
      <c r="G317">
        <v>0</v>
      </c>
      <c r="H317">
        <v>29.06</v>
      </c>
      <c r="I317" t="b">
        <v>1</v>
      </c>
    </row>
    <row r="318" spans="1:9" x14ac:dyDescent="0.25">
      <c r="A318" t="s">
        <v>169</v>
      </c>
      <c r="B318" t="s">
        <v>13</v>
      </c>
      <c r="C318" t="s">
        <v>3</v>
      </c>
      <c r="D318" t="s">
        <v>13</v>
      </c>
      <c r="E318">
        <v>100</v>
      </c>
      <c r="F318" t="s">
        <v>56</v>
      </c>
      <c r="G318">
        <v>0</v>
      </c>
      <c r="H318">
        <v>27.6</v>
      </c>
      <c r="I318" t="b">
        <v>1</v>
      </c>
    </row>
    <row r="319" spans="1:9" x14ac:dyDescent="0.25">
      <c r="A319" t="s">
        <v>169</v>
      </c>
      <c r="B319" t="s">
        <v>16</v>
      </c>
      <c r="C319" t="s">
        <v>3</v>
      </c>
      <c r="D319" t="s">
        <v>16</v>
      </c>
      <c r="E319">
        <v>100</v>
      </c>
      <c r="F319" t="s">
        <v>77</v>
      </c>
      <c r="G319">
        <v>0</v>
      </c>
      <c r="H319">
        <v>29.94</v>
      </c>
      <c r="I319" t="b">
        <v>1</v>
      </c>
    </row>
    <row r="320" spans="1:9" x14ac:dyDescent="0.25">
      <c r="A320" t="s">
        <v>170</v>
      </c>
      <c r="B320" t="s">
        <v>16</v>
      </c>
      <c r="C320" t="s">
        <v>5</v>
      </c>
      <c r="D320" t="s">
        <v>16</v>
      </c>
      <c r="E320">
        <v>100</v>
      </c>
      <c r="F320" t="s">
        <v>55</v>
      </c>
      <c r="G320">
        <v>0</v>
      </c>
      <c r="H320">
        <v>16.14</v>
      </c>
      <c r="I320" t="b">
        <v>1</v>
      </c>
    </row>
    <row r="321" spans="1:9" x14ac:dyDescent="0.25">
      <c r="A321" t="s">
        <v>170</v>
      </c>
      <c r="B321" t="s">
        <v>16</v>
      </c>
      <c r="C321" t="s">
        <v>3</v>
      </c>
      <c r="D321" t="s">
        <v>16</v>
      </c>
      <c r="E321">
        <v>100</v>
      </c>
      <c r="F321" t="s">
        <v>55</v>
      </c>
      <c r="G321">
        <v>0</v>
      </c>
      <c r="H321">
        <v>31.46</v>
      </c>
      <c r="I321" t="b">
        <v>1</v>
      </c>
    </row>
    <row r="322" spans="1:9" x14ac:dyDescent="0.25">
      <c r="A322" t="s">
        <v>171</v>
      </c>
      <c r="B322" t="s">
        <v>16</v>
      </c>
      <c r="C322" t="s">
        <v>5</v>
      </c>
      <c r="D322" t="s">
        <v>16</v>
      </c>
      <c r="E322">
        <v>100</v>
      </c>
      <c r="F322" t="s">
        <v>35</v>
      </c>
      <c r="G322">
        <v>0</v>
      </c>
      <c r="H322">
        <v>16.940000000000001</v>
      </c>
      <c r="I322" t="b">
        <v>1</v>
      </c>
    </row>
    <row r="323" spans="1:9" x14ac:dyDescent="0.25">
      <c r="A323" t="s">
        <v>171</v>
      </c>
      <c r="B323" t="s">
        <v>16</v>
      </c>
      <c r="C323" t="s">
        <v>3</v>
      </c>
      <c r="D323" t="s">
        <v>16</v>
      </c>
      <c r="E323">
        <v>100</v>
      </c>
      <c r="F323" t="s">
        <v>21</v>
      </c>
      <c r="G323">
        <v>0</v>
      </c>
      <c r="H323">
        <v>30.12</v>
      </c>
      <c r="I323" t="b">
        <v>1</v>
      </c>
    </row>
    <row r="324" spans="1:9" x14ac:dyDescent="0.25">
      <c r="A324" t="s">
        <v>172</v>
      </c>
      <c r="B324" t="s">
        <v>16</v>
      </c>
      <c r="C324" t="s">
        <v>3</v>
      </c>
      <c r="D324" t="s">
        <v>16</v>
      </c>
      <c r="E324">
        <v>100</v>
      </c>
      <c r="F324" t="s">
        <v>26</v>
      </c>
      <c r="G324">
        <v>0</v>
      </c>
      <c r="H324">
        <v>31.02</v>
      </c>
      <c r="I324" t="b">
        <v>1</v>
      </c>
    </row>
    <row r="325" spans="1:9" x14ac:dyDescent="0.25">
      <c r="A325" t="s">
        <v>172</v>
      </c>
      <c r="B325" t="s">
        <v>16</v>
      </c>
      <c r="C325" t="s">
        <v>5</v>
      </c>
      <c r="D325" t="s">
        <v>16</v>
      </c>
      <c r="E325">
        <v>100</v>
      </c>
      <c r="F325" t="s">
        <v>18</v>
      </c>
      <c r="G325">
        <v>0</v>
      </c>
      <c r="H325">
        <v>15.52</v>
      </c>
      <c r="I325" t="b">
        <v>1</v>
      </c>
    </row>
    <row r="326" spans="1:9" x14ac:dyDescent="0.25">
      <c r="A326" t="s">
        <v>173</v>
      </c>
      <c r="B326" t="s">
        <v>16</v>
      </c>
      <c r="C326" t="s">
        <v>3</v>
      </c>
      <c r="D326" t="s">
        <v>16</v>
      </c>
      <c r="E326">
        <v>100</v>
      </c>
      <c r="F326" t="s">
        <v>18</v>
      </c>
      <c r="G326">
        <v>0</v>
      </c>
      <c r="H326">
        <v>29.93</v>
      </c>
      <c r="I326" t="b">
        <v>1</v>
      </c>
    </row>
    <row r="327" spans="1:9" x14ac:dyDescent="0.25">
      <c r="A327" t="s">
        <v>173</v>
      </c>
      <c r="B327" t="s">
        <v>16</v>
      </c>
      <c r="C327" t="s">
        <v>3</v>
      </c>
      <c r="D327" t="s">
        <v>16</v>
      </c>
      <c r="E327">
        <v>100</v>
      </c>
      <c r="F327" t="s">
        <v>26</v>
      </c>
      <c r="G327">
        <v>0</v>
      </c>
      <c r="H327">
        <v>35.200000000000003</v>
      </c>
      <c r="I327" t="b">
        <v>1</v>
      </c>
    </row>
    <row r="328" spans="1:9" x14ac:dyDescent="0.25">
      <c r="A328" t="s">
        <v>174</v>
      </c>
      <c r="B328" t="s">
        <v>56</v>
      </c>
      <c r="C328" t="s">
        <v>3</v>
      </c>
      <c r="D328" t="s">
        <v>56</v>
      </c>
      <c r="E328">
        <v>100</v>
      </c>
      <c r="F328" t="s">
        <v>7</v>
      </c>
      <c r="G328">
        <v>0</v>
      </c>
      <c r="H328">
        <v>35.380000000000003</v>
      </c>
      <c r="I328" t="b">
        <v>1</v>
      </c>
    </row>
    <row r="329" spans="1:9" x14ac:dyDescent="0.25">
      <c r="A329" t="s">
        <v>174</v>
      </c>
      <c r="B329" t="s">
        <v>56</v>
      </c>
      <c r="C329" t="s">
        <v>3</v>
      </c>
      <c r="D329" t="s">
        <v>56</v>
      </c>
      <c r="E329">
        <v>100</v>
      </c>
      <c r="F329" t="s">
        <v>77</v>
      </c>
      <c r="G329">
        <v>0</v>
      </c>
      <c r="H329">
        <v>27.54</v>
      </c>
      <c r="I329" t="b">
        <v>1</v>
      </c>
    </row>
    <row r="330" spans="1:9" x14ac:dyDescent="0.25">
      <c r="A330" t="s">
        <v>175</v>
      </c>
      <c r="B330" t="s">
        <v>56</v>
      </c>
      <c r="C330" t="s">
        <v>3</v>
      </c>
      <c r="D330" t="s">
        <v>56</v>
      </c>
      <c r="E330">
        <v>100</v>
      </c>
      <c r="F330" t="s">
        <v>21</v>
      </c>
      <c r="G330">
        <v>0</v>
      </c>
      <c r="H330">
        <v>27.59</v>
      </c>
      <c r="I330" t="b">
        <v>1</v>
      </c>
    </row>
    <row r="331" spans="1:9" x14ac:dyDescent="0.25">
      <c r="A331" t="s">
        <v>175</v>
      </c>
      <c r="B331" t="s">
        <v>56</v>
      </c>
      <c r="C331" t="s">
        <v>3</v>
      </c>
      <c r="D331" t="s">
        <v>56</v>
      </c>
      <c r="E331">
        <v>100</v>
      </c>
      <c r="F331" t="s">
        <v>77</v>
      </c>
      <c r="G331">
        <v>0</v>
      </c>
      <c r="H331">
        <v>26.66</v>
      </c>
      <c r="I331" t="b">
        <v>1</v>
      </c>
    </row>
    <row r="332" spans="1:9" x14ac:dyDescent="0.25">
      <c r="A332" t="s">
        <v>176</v>
      </c>
      <c r="B332" t="s">
        <v>56</v>
      </c>
      <c r="C332" t="s">
        <v>5</v>
      </c>
      <c r="D332" t="s">
        <v>56</v>
      </c>
      <c r="E332">
        <v>100</v>
      </c>
      <c r="F332" t="s">
        <v>77</v>
      </c>
      <c r="G332">
        <v>0</v>
      </c>
      <c r="H332">
        <v>15.49</v>
      </c>
      <c r="I332" t="b">
        <v>1</v>
      </c>
    </row>
    <row r="333" spans="1:9" x14ac:dyDescent="0.25">
      <c r="A333" t="s">
        <v>176</v>
      </c>
      <c r="B333" t="s">
        <v>35</v>
      </c>
      <c r="C333" t="s">
        <v>3</v>
      </c>
      <c r="D333" t="s">
        <v>39</v>
      </c>
      <c r="E333">
        <v>100</v>
      </c>
      <c r="F333" t="s">
        <v>35</v>
      </c>
      <c r="G333">
        <v>0</v>
      </c>
      <c r="H333">
        <v>27.04</v>
      </c>
      <c r="I333" t="b">
        <v>0</v>
      </c>
    </row>
    <row r="334" spans="1:9" x14ac:dyDescent="0.25">
      <c r="A334" t="s">
        <v>177</v>
      </c>
      <c r="B334" t="s">
        <v>18</v>
      </c>
      <c r="C334" t="s">
        <v>3</v>
      </c>
      <c r="D334" t="s">
        <v>18</v>
      </c>
      <c r="E334">
        <v>100</v>
      </c>
      <c r="F334" t="s">
        <v>12</v>
      </c>
      <c r="G334">
        <v>0</v>
      </c>
      <c r="H334">
        <v>31.68</v>
      </c>
      <c r="I334" t="b">
        <v>1</v>
      </c>
    </row>
    <row r="335" spans="1:9" x14ac:dyDescent="0.25">
      <c r="A335" t="s">
        <v>177</v>
      </c>
      <c r="B335" t="s">
        <v>18</v>
      </c>
      <c r="C335" t="s">
        <v>3</v>
      </c>
      <c r="D335" t="s">
        <v>18</v>
      </c>
      <c r="E335">
        <v>100</v>
      </c>
      <c r="F335" t="s">
        <v>7</v>
      </c>
      <c r="G335">
        <v>0</v>
      </c>
      <c r="H335">
        <v>33.6</v>
      </c>
      <c r="I335" t="b">
        <v>1</v>
      </c>
    </row>
    <row r="336" spans="1:9" x14ac:dyDescent="0.25">
      <c r="A336" t="s">
        <v>178</v>
      </c>
      <c r="B336" t="s">
        <v>39</v>
      </c>
      <c r="C336" t="s">
        <v>3</v>
      </c>
      <c r="D336" t="s">
        <v>39</v>
      </c>
      <c r="E336">
        <v>100</v>
      </c>
      <c r="F336" t="s">
        <v>35</v>
      </c>
      <c r="G336">
        <v>0</v>
      </c>
      <c r="H336">
        <v>29.36</v>
      </c>
      <c r="I336" t="b">
        <v>1</v>
      </c>
    </row>
    <row r="337" spans="1:9" x14ac:dyDescent="0.25">
      <c r="A337" t="s">
        <v>178</v>
      </c>
      <c r="B337" t="s">
        <v>39</v>
      </c>
      <c r="C337" t="s">
        <v>3</v>
      </c>
      <c r="D337" t="s">
        <v>39</v>
      </c>
      <c r="E337">
        <v>100</v>
      </c>
      <c r="F337" t="s">
        <v>26</v>
      </c>
      <c r="G337">
        <v>0</v>
      </c>
      <c r="H337">
        <v>28.51</v>
      </c>
      <c r="I337" t="b">
        <v>1</v>
      </c>
    </row>
    <row r="338" spans="1:9" x14ac:dyDescent="0.25">
      <c r="A338" t="s">
        <v>179</v>
      </c>
      <c r="B338" t="s">
        <v>39</v>
      </c>
      <c r="C338" t="s">
        <v>3</v>
      </c>
      <c r="D338" t="s">
        <v>39</v>
      </c>
      <c r="E338">
        <v>100</v>
      </c>
      <c r="F338" t="s">
        <v>35</v>
      </c>
      <c r="G338">
        <v>0</v>
      </c>
      <c r="H338">
        <v>27.58</v>
      </c>
      <c r="I338" t="b">
        <v>1</v>
      </c>
    </row>
    <row r="339" spans="1:9" x14ac:dyDescent="0.25">
      <c r="A339" t="s">
        <v>179</v>
      </c>
      <c r="B339" t="s">
        <v>39</v>
      </c>
      <c r="C339" t="s">
        <v>3</v>
      </c>
      <c r="D339" t="s">
        <v>39</v>
      </c>
      <c r="E339">
        <v>100</v>
      </c>
      <c r="F339" t="s">
        <v>16</v>
      </c>
      <c r="G339">
        <v>0</v>
      </c>
      <c r="H339">
        <v>28.6</v>
      </c>
      <c r="I339" t="b">
        <v>1</v>
      </c>
    </row>
    <row r="340" spans="1:9" x14ac:dyDescent="0.25">
      <c r="A340" t="s">
        <v>180</v>
      </c>
      <c r="B340" t="s">
        <v>68</v>
      </c>
      <c r="C340" t="s">
        <v>5</v>
      </c>
      <c r="D340" t="s">
        <v>68</v>
      </c>
      <c r="E340">
        <v>100</v>
      </c>
      <c r="F340" t="s">
        <v>55</v>
      </c>
      <c r="G340">
        <v>0</v>
      </c>
      <c r="H340">
        <v>15.29</v>
      </c>
      <c r="I340" t="b">
        <v>1</v>
      </c>
    </row>
    <row r="341" spans="1:9" x14ac:dyDescent="0.25">
      <c r="A341" t="s">
        <v>180</v>
      </c>
      <c r="B341" t="s">
        <v>45</v>
      </c>
      <c r="C341" t="s">
        <v>3</v>
      </c>
      <c r="D341" t="s">
        <v>45</v>
      </c>
      <c r="E341">
        <v>100</v>
      </c>
      <c r="F341" t="s">
        <v>8</v>
      </c>
      <c r="G341">
        <v>0</v>
      </c>
      <c r="H341">
        <v>26.14</v>
      </c>
      <c r="I341" t="b">
        <v>1</v>
      </c>
    </row>
    <row r="342" spans="1:9" x14ac:dyDescent="0.25">
      <c r="A342" t="s">
        <v>181</v>
      </c>
      <c r="B342" t="s">
        <v>45</v>
      </c>
      <c r="C342" t="s">
        <v>5</v>
      </c>
      <c r="D342" t="s">
        <v>45</v>
      </c>
      <c r="E342">
        <v>100</v>
      </c>
      <c r="F342" t="s">
        <v>8</v>
      </c>
      <c r="G342">
        <v>0</v>
      </c>
      <c r="H342">
        <v>14.75</v>
      </c>
      <c r="I342" t="b">
        <v>1</v>
      </c>
    </row>
    <row r="343" spans="1:9" x14ac:dyDescent="0.25">
      <c r="A343" t="s">
        <v>181</v>
      </c>
      <c r="B343" t="s">
        <v>55</v>
      </c>
      <c r="C343" t="s">
        <v>5</v>
      </c>
      <c r="D343" t="s">
        <v>55</v>
      </c>
      <c r="E343">
        <v>100</v>
      </c>
      <c r="F343" t="s">
        <v>68</v>
      </c>
      <c r="G343">
        <v>0</v>
      </c>
      <c r="H343">
        <v>15.66</v>
      </c>
      <c r="I343" t="b">
        <v>1</v>
      </c>
    </row>
    <row r="344" spans="1:9" x14ac:dyDescent="0.25">
      <c r="A344" t="s">
        <v>182</v>
      </c>
      <c r="B344" t="s">
        <v>55</v>
      </c>
      <c r="C344" t="s">
        <v>3</v>
      </c>
      <c r="D344" t="s">
        <v>55</v>
      </c>
      <c r="E344">
        <v>100</v>
      </c>
      <c r="F344" t="s">
        <v>18</v>
      </c>
      <c r="G344">
        <v>0</v>
      </c>
      <c r="H344">
        <v>28.74</v>
      </c>
      <c r="I344" t="b">
        <v>1</v>
      </c>
    </row>
    <row r="345" spans="1:9" x14ac:dyDescent="0.25">
      <c r="A345" t="s">
        <v>182</v>
      </c>
      <c r="B345" t="s">
        <v>8</v>
      </c>
      <c r="C345" t="s">
        <v>5</v>
      </c>
      <c r="D345" t="s">
        <v>8</v>
      </c>
      <c r="E345">
        <v>100</v>
      </c>
      <c r="F345" t="s">
        <v>7</v>
      </c>
      <c r="G345">
        <v>0</v>
      </c>
      <c r="H345">
        <v>16.8</v>
      </c>
      <c r="I345" t="b">
        <v>1</v>
      </c>
    </row>
    <row r="346" spans="1:9" x14ac:dyDescent="0.25">
      <c r="A346" t="s">
        <v>183</v>
      </c>
      <c r="B346" t="s">
        <v>8</v>
      </c>
      <c r="C346" t="s">
        <v>3</v>
      </c>
      <c r="D346" t="s">
        <v>8</v>
      </c>
      <c r="E346">
        <v>100</v>
      </c>
      <c r="F346" t="s">
        <v>45</v>
      </c>
      <c r="G346">
        <v>0</v>
      </c>
      <c r="H346">
        <v>31.99</v>
      </c>
      <c r="I346" t="b">
        <v>1</v>
      </c>
    </row>
    <row r="347" spans="1:9" x14ac:dyDescent="0.25">
      <c r="A347" t="s">
        <v>183</v>
      </c>
      <c r="B347" t="s">
        <v>8</v>
      </c>
      <c r="C347" t="s">
        <v>5</v>
      </c>
      <c r="D347" t="s">
        <v>8</v>
      </c>
      <c r="E347">
        <v>100</v>
      </c>
      <c r="F347" t="s">
        <v>18</v>
      </c>
      <c r="G347">
        <v>0</v>
      </c>
      <c r="H347">
        <v>17.09</v>
      </c>
      <c r="I347" t="b">
        <v>1</v>
      </c>
    </row>
    <row r="348" spans="1:9" x14ac:dyDescent="0.25">
      <c r="A348" t="s">
        <v>184</v>
      </c>
      <c r="B348" t="s">
        <v>8</v>
      </c>
      <c r="C348" t="s">
        <v>3</v>
      </c>
      <c r="D348" t="s">
        <v>8</v>
      </c>
      <c r="E348">
        <v>100</v>
      </c>
      <c r="F348" t="s">
        <v>13</v>
      </c>
      <c r="G348">
        <v>0</v>
      </c>
      <c r="H348">
        <v>26.82</v>
      </c>
      <c r="I348" t="b">
        <v>1</v>
      </c>
    </row>
    <row r="349" spans="1:9" x14ac:dyDescent="0.25">
      <c r="A349" t="s">
        <v>184</v>
      </c>
      <c r="B349" t="s">
        <v>8</v>
      </c>
      <c r="C349" t="s">
        <v>5</v>
      </c>
      <c r="D349" t="s">
        <v>8</v>
      </c>
      <c r="E349">
        <v>100</v>
      </c>
      <c r="F349" t="s">
        <v>13</v>
      </c>
      <c r="G349">
        <v>0</v>
      </c>
      <c r="H349">
        <v>14.86</v>
      </c>
      <c r="I349" t="b">
        <v>1</v>
      </c>
    </row>
    <row r="350" spans="1:9" x14ac:dyDescent="0.25">
      <c r="A350" t="s">
        <v>185</v>
      </c>
      <c r="B350" t="s">
        <v>8</v>
      </c>
      <c r="C350" t="s">
        <v>5</v>
      </c>
      <c r="D350" t="s">
        <v>8</v>
      </c>
      <c r="E350">
        <v>100</v>
      </c>
      <c r="F350" t="s">
        <v>13</v>
      </c>
      <c r="G350">
        <v>0</v>
      </c>
      <c r="H350">
        <v>15.53</v>
      </c>
      <c r="I350" t="b">
        <v>1</v>
      </c>
    </row>
    <row r="351" spans="1:9" x14ac:dyDescent="0.25">
      <c r="A351" t="s">
        <v>185</v>
      </c>
      <c r="B351" t="s">
        <v>8</v>
      </c>
      <c r="C351" t="s">
        <v>3</v>
      </c>
      <c r="D351" t="s">
        <v>8</v>
      </c>
      <c r="E351">
        <v>100</v>
      </c>
      <c r="F351" t="s">
        <v>26</v>
      </c>
      <c r="G351">
        <v>0</v>
      </c>
      <c r="H351">
        <v>28.13</v>
      </c>
      <c r="I351" t="b">
        <v>1</v>
      </c>
    </row>
    <row r="352" spans="1:9" x14ac:dyDescent="0.25">
      <c r="A352" t="s">
        <v>186</v>
      </c>
      <c r="B352" t="s">
        <v>8</v>
      </c>
      <c r="C352" t="s">
        <v>5</v>
      </c>
      <c r="D352" t="s">
        <v>8</v>
      </c>
      <c r="E352">
        <v>100</v>
      </c>
      <c r="F352" t="s">
        <v>45</v>
      </c>
      <c r="G352">
        <v>0</v>
      </c>
      <c r="H352">
        <v>16.2</v>
      </c>
      <c r="I352" t="b">
        <v>1</v>
      </c>
    </row>
    <row r="353" spans="1:9" x14ac:dyDescent="0.25">
      <c r="A353" t="s">
        <v>186</v>
      </c>
      <c r="B353" t="s">
        <v>8</v>
      </c>
      <c r="C353" t="s">
        <v>5</v>
      </c>
      <c r="D353" t="s">
        <v>8</v>
      </c>
      <c r="E353">
        <v>100</v>
      </c>
      <c r="F353" t="s">
        <v>13</v>
      </c>
      <c r="G353">
        <v>0</v>
      </c>
      <c r="H353">
        <v>16.27</v>
      </c>
      <c r="I353" t="b">
        <v>1</v>
      </c>
    </row>
    <row r="354" spans="1:9" x14ac:dyDescent="0.25">
      <c r="A354" t="s">
        <v>187</v>
      </c>
      <c r="B354" t="s">
        <v>8</v>
      </c>
      <c r="C354" t="s">
        <v>5</v>
      </c>
      <c r="D354" t="s">
        <v>8</v>
      </c>
      <c r="E354">
        <v>100</v>
      </c>
      <c r="F354" t="s">
        <v>21</v>
      </c>
      <c r="G354">
        <v>0</v>
      </c>
      <c r="H354">
        <v>16.28</v>
      </c>
      <c r="I354" t="b">
        <v>1</v>
      </c>
    </row>
    <row r="355" spans="1:9" x14ac:dyDescent="0.25">
      <c r="A355" t="s">
        <v>187</v>
      </c>
      <c r="B355" t="s">
        <v>8</v>
      </c>
      <c r="C355" t="s">
        <v>5</v>
      </c>
      <c r="D355" t="s">
        <v>8</v>
      </c>
      <c r="E355">
        <v>100</v>
      </c>
      <c r="F355" t="s">
        <v>13</v>
      </c>
      <c r="G355">
        <v>0</v>
      </c>
      <c r="H355">
        <v>16.22</v>
      </c>
      <c r="I355" t="b">
        <v>1</v>
      </c>
    </row>
  </sheetData>
  <autoFilter ref="B1:I355" xr:uid="{DC21F3A5-FE71-4562-8CFF-30A75241BA52}">
    <sortState xmlns:xlrd2="http://schemas.microsoft.com/office/spreadsheetml/2017/richdata2" ref="B2:I355">
      <sortCondition ref="E1:E355"/>
    </sortState>
  </autoFilter>
  <mergeCells count="8">
    <mergeCell ref="M28:N28"/>
    <mergeCell ref="O28:P28"/>
    <mergeCell ref="M6:N6"/>
    <mergeCell ref="O6:P6"/>
    <mergeCell ref="K6:K7"/>
    <mergeCell ref="L6:L7"/>
    <mergeCell ref="K28:K29"/>
    <mergeCell ref="L28:L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Lauridsen</dc:creator>
  <cp:lastModifiedBy>Amanda Lauridsen</cp:lastModifiedBy>
  <dcterms:created xsi:type="dcterms:W3CDTF">2026-02-08T21:16:06Z</dcterms:created>
  <dcterms:modified xsi:type="dcterms:W3CDTF">2026-02-08T23:45:30Z</dcterms:modified>
</cp:coreProperties>
</file>